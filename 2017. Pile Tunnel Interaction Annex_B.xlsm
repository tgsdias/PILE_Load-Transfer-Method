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ago\Downloads\"/>
    </mc:Choice>
  </mc:AlternateContent>
  <bookViews>
    <workbookView xWindow="-20" yWindow="110" windowWidth="10250" windowHeight="8060" xr2:uid="{00000000-000D-0000-FFFF-FFFF00000000}"/>
  </bookViews>
  <sheets>
    <sheet name="P25" sheetId="51" r:id="rId1"/>
  </sheets>
  <definedNames>
    <definedName name="_xlnm.Print_Area" localSheetId="0">'P25'!$A$1:$R$42</definedName>
  </definedNames>
  <calcPr calcId="171027" refMode="R1C1" iterate="1"/>
</workbook>
</file>

<file path=xl/calcChain.xml><?xml version="1.0" encoding="utf-8"?>
<calcChain xmlns="http://schemas.openxmlformats.org/spreadsheetml/2006/main">
  <c r="B22" i="51" l="1"/>
  <c r="B15" i="51"/>
  <c r="B14" i="51"/>
  <c r="B13" i="51"/>
  <c r="B11" i="51"/>
  <c r="P42" i="51" l="1"/>
  <c r="B19" i="51" l="1"/>
  <c r="E7" i="51"/>
  <c r="B7" i="51"/>
  <c r="B6" i="51"/>
  <c r="E3" i="51" l="1"/>
  <c r="E4" i="51"/>
  <c r="E5" i="51"/>
  <c r="E6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2" i="51"/>
  <c r="B12" i="51" l="1"/>
  <c r="Q42" i="51" l="1"/>
  <c r="N42" i="51"/>
  <c r="R2" i="51" l="1"/>
  <c r="N2" i="51"/>
  <c r="O2" i="51"/>
  <c r="P2" i="51"/>
  <c r="Q2" i="51"/>
  <c r="N3" i="51"/>
  <c r="O3" i="51"/>
  <c r="P3" i="51"/>
  <c r="Q3" i="51"/>
  <c r="R3" i="51"/>
  <c r="N4" i="51"/>
  <c r="O4" i="51"/>
  <c r="P4" i="51"/>
  <c r="Q4" i="51"/>
  <c r="R4" i="51"/>
  <c r="N5" i="51"/>
  <c r="O5" i="51"/>
  <c r="P5" i="51"/>
  <c r="Q5" i="51"/>
  <c r="R5" i="51"/>
  <c r="N6" i="51"/>
  <c r="O6" i="51"/>
  <c r="P6" i="51"/>
  <c r="Q6" i="51"/>
  <c r="R6" i="51"/>
  <c r="N7" i="51"/>
  <c r="O7" i="51"/>
  <c r="P7" i="51"/>
  <c r="Q7" i="51"/>
  <c r="R7" i="51"/>
  <c r="N8" i="51"/>
  <c r="O8" i="51"/>
  <c r="P8" i="51"/>
  <c r="Q8" i="51"/>
  <c r="R8" i="51"/>
  <c r="N9" i="51"/>
  <c r="O9" i="51"/>
  <c r="P9" i="51"/>
  <c r="Q9" i="51"/>
  <c r="R9" i="51"/>
  <c r="N10" i="51"/>
  <c r="O10" i="51"/>
  <c r="P10" i="51"/>
  <c r="Q10" i="51"/>
  <c r="R10" i="51"/>
  <c r="N11" i="51"/>
  <c r="O11" i="51"/>
  <c r="P11" i="51"/>
  <c r="Q11" i="51"/>
  <c r="R11" i="51"/>
  <c r="N12" i="51"/>
  <c r="O12" i="51"/>
  <c r="P12" i="51"/>
  <c r="Q12" i="51"/>
  <c r="R12" i="51"/>
  <c r="N13" i="51"/>
  <c r="O13" i="51"/>
  <c r="P13" i="51"/>
  <c r="Q13" i="51"/>
  <c r="R13" i="51"/>
  <c r="N14" i="51"/>
  <c r="O14" i="51"/>
  <c r="P14" i="51"/>
  <c r="Q14" i="51"/>
  <c r="R14" i="51"/>
  <c r="N15" i="51"/>
  <c r="O15" i="51"/>
  <c r="P15" i="51"/>
  <c r="Q15" i="51"/>
  <c r="R15" i="51"/>
  <c r="N16" i="51"/>
  <c r="O16" i="51"/>
  <c r="P16" i="51"/>
  <c r="Q16" i="51"/>
  <c r="R16" i="51"/>
  <c r="N17" i="51"/>
  <c r="O17" i="51"/>
  <c r="P17" i="51"/>
  <c r="Q17" i="51"/>
  <c r="R17" i="51"/>
  <c r="N18" i="51"/>
  <c r="O18" i="51"/>
  <c r="P18" i="51"/>
  <c r="Q18" i="51"/>
  <c r="R18" i="51"/>
  <c r="N19" i="51"/>
  <c r="O19" i="51"/>
  <c r="P19" i="51"/>
  <c r="Q19" i="51"/>
  <c r="R19" i="51"/>
  <c r="N20" i="51"/>
  <c r="O20" i="51"/>
  <c r="P20" i="51"/>
  <c r="Q20" i="51"/>
  <c r="R20" i="51"/>
  <c r="N21" i="51"/>
  <c r="O21" i="51"/>
  <c r="P21" i="51"/>
  <c r="Q21" i="51"/>
  <c r="R21" i="51"/>
  <c r="N22" i="51"/>
  <c r="O22" i="51"/>
  <c r="P22" i="51"/>
  <c r="Q22" i="51"/>
  <c r="R22" i="51"/>
  <c r="N23" i="51"/>
  <c r="O23" i="51"/>
  <c r="P23" i="51"/>
  <c r="Q23" i="51"/>
  <c r="R23" i="51"/>
  <c r="B24" i="51"/>
  <c r="N24" i="51"/>
  <c r="O24" i="51"/>
  <c r="P24" i="51"/>
  <c r="Q24" i="51"/>
  <c r="R24" i="51"/>
  <c r="N25" i="51"/>
  <c r="O25" i="51"/>
  <c r="P25" i="51"/>
  <c r="Q25" i="51"/>
  <c r="R25" i="51"/>
  <c r="N26" i="51"/>
  <c r="O26" i="51"/>
  <c r="P26" i="51"/>
  <c r="Q26" i="51"/>
  <c r="R26" i="51"/>
  <c r="N27" i="51"/>
  <c r="O27" i="51"/>
  <c r="P27" i="51"/>
  <c r="Q27" i="51"/>
  <c r="R27" i="51"/>
  <c r="N28" i="51"/>
  <c r="O28" i="51"/>
  <c r="P28" i="51"/>
  <c r="Q28" i="51"/>
  <c r="R28" i="51"/>
  <c r="N29" i="51"/>
  <c r="O29" i="51"/>
  <c r="P29" i="51"/>
  <c r="Q29" i="51"/>
  <c r="R29" i="51"/>
  <c r="N30" i="51"/>
  <c r="O30" i="51"/>
  <c r="P30" i="51"/>
  <c r="Q30" i="51"/>
  <c r="R30" i="51"/>
  <c r="N31" i="51"/>
  <c r="O31" i="51"/>
  <c r="P31" i="51"/>
  <c r="Q31" i="51"/>
  <c r="R31" i="51"/>
  <c r="N32" i="51"/>
  <c r="O32" i="51"/>
  <c r="P32" i="51"/>
  <c r="Q32" i="51"/>
  <c r="R32" i="51"/>
  <c r="N33" i="51"/>
  <c r="O33" i="51"/>
  <c r="P33" i="51"/>
  <c r="Q33" i="51"/>
  <c r="R33" i="51"/>
  <c r="N34" i="51"/>
  <c r="O34" i="51"/>
  <c r="P34" i="51"/>
  <c r="Q34" i="51"/>
  <c r="R34" i="51"/>
  <c r="N35" i="51"/>
  <c r="O35" i="51"/>
  <c r="P35" i="51"/>
  <c r="Q35" i="51"/>
  <c r="R35" i="51"/>
  <c r="N36" i="51"/>
  <c r="O36" i="51"/>
  <c r="P36" i="51"/>
  <c r="Q36" i="51"/>
  <c r="R36" i="51"/>
  <c r="N37" i="51"/>
  <c r="O37" i="51"/>
  <c r="P37" i="51"/>
  <c r="Q37" i="51"/>
  <c r="R37" i="51"/>
  <c r="N38" i="51"/>
  <c r="O38" i="51"/>
  <c r="P38" i="51"/>
  <c r="Q38" i="51"/>
  <c r="R38" i="51"/>
  <c r="N39" i="51"/>
  <c r="O39" i="51"/>
  <c r="P39" i="51"/>
  <c r="Q39" i="51"/>
  <c r="R39" i="51"/>
  <c r="N40" i="51"/>
  <c r="O40" i="51"/>
  <c r="P40" i="51"/>
  <c r="Q40" i="51"/>
  <c r="R40" i="51"/>
  <c r="N41" i="51"/>
  <c r="O41" i="51"/>
  <c r="P41" i="51"/>
  <c r="Q41" i="51"/>
  <c r="R41" i="51"/>
  <c r="R42" i="51"/>
</calcChain>
</file>

<file path=xl/sharedStrings.xml><?xml version="1.0" encoding="utf-8"?>
<sst xmlns="http://schemas.openxmlformats.org/spreadsheetml/2006/main" count="37" uniqueCount="35">
  <si>
    <t>Z/Zp</t>
  </si>
  <si>
    <t>Zp (m)</t>
  </si>
  <si>
    <t>qb (kN/m²)</t>
  </si>
  <si>
    <t>UBC (kN)</t>
  </si>
  <si>
    <t>Ep (kN/m²)</t>
  </si>
  <si>
    <t>Ap (m²)</t>
  </si>
  <si>
    <t>τ/τmáx</t>
  </si>
  <si>
    <t>Wl/UBC</t>
  </si>
  <si>
    <t>UTC (kN)</t>
  </si>
  <si>
    <t>Pp (m)</t>
  </si>
  <si>
    <t>Divisions</t>
  </si>
  <si>
    <t>∆δ (mm)</t>
  </si>
  <si>
    <t>δp (mm)</t>
  </si>
  <si>
    <t>δs (mm)</t>
  </si>
  <si>
    <t>Rb</t>
  </si>
  <si>
    <t>σ (kN/m²)</t>
  </si>
  <si>
    <t>τ (kN/m²)</t>
  </si>
  <si>
    <t>τ ep</t>
  </si>
  <si>
    <t>∆δ r</t>
  </si>
  <si>
    <t>τ r</t>
  </si>
  <si>
    <t>γp (kN/m³)</t>
  </si>
  <si>
    <t>∆δt (mm)</t>
  </si>
  <si>
    <t>λtoe</t>
  </si>
  <si>
    <t>Error</t>
  </si>
  <si>
    <t>Loads</t>
  </si>
  <si>
    <t>S2</t>
  </si>
  <si>
    <t>S1</t>
  </si>
  <si>
    <t>S3</t>
  </si>
  <si>
    <t>Toe Mob</t>
  </si>
  <si>
    <t>S1/3</t>
  </si>
  <si>
    <t>∆δmax (mm)</t>
  </si>
  <si>
    <t>Weight (kN)</t>
  </si>
  <si>
    <t>Shaft (kN)</t>
  </si>
  <si>
    <t>Toe (kN)</t>
  </si>
  <si>
    <t>τ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</si>
</sst>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E+00"/>
    <numFmt numFmtId="165" formatCode="0.0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1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2" fontId="0" fillId="4" borderId="0" xfId="0" applyNumberFormat="1" applyFont="1" applyFill="1" applyBorder="1" applyAlignment="1">
      <alignment horizontal="center" vertical="center"/>
    </xf>
    <xf numFmtId="2" fontId="3" fillId="3" borderId="0" xfId="0" applyNumberFormat="1" applyFont="1" applyFill="1" applyBorder="1" applyAlignment="1">
      <alignment horizontal="center" vertical="center"/>
    </xf>
    <xf numFmtId="2" fontId="0" fillId="5" borderId="0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horizontal="center" vertical="center"/>
    </xf>
    <xf numFmtId="1" fontId="0" fillId="5" borderId="0" xfId="0" applyNumberFormat="1" applyFont="1" applyFill="1" applyBorder="1" applyAlignment="1">
      <alignment horizontal="center" vertical="center"/>
    </xf>
    <xf numFmtId="2" fontId="0" fillId="8" borderId="0" xfId="0" applyNumberFormat="1" applyFont="1" applyFill="1" applyBorder="1" applyAlignment="1">
      <alignment horizontal="center" vertical="center"/>
    </xf>
    <xf numFmtId="2" fontId="3" fillId="8" borderId="0" xfId="0" applyNumberFormat="1" applyFont="1" applyFill="1" applyBorder="1" applyAlignment="1">
      <alignment horizontal="center" vertical="center"/>
    </xf>
    <xf numFmtId="2" fontId="0" fillId="9" borderId="0" xfId="0" applyNumberFormat="1" applyFont="1" applyFill="1" applyBorder="1" applyAlignment="1">
      <alignment horizontal="center" vertical="center"/>
    </xf>
    <xf numFmtId="2" fontId="0" fillId="6" borderId="0" xfId="0" applyNumberFormat="1" applyFont="1" applyFill="1" applyBorder="1" applyAlignment="1">
      <alignment horizontal="center" vertical="center"/>
    </xf>
    <xf numFmtId="166" fontId="0" fillId="3" borderId="0" xfId="0" applyNumberFormat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11" fontId="0" fillId="3" borderId="0" xfId="0" applyNumberFormat="1" applyFont="1" applyFill="1" applyBorder="1" applyAlignment="1">
      <alignment horizontal="left" vertical="center"/>
    </xf>
    <xf numFmtId="2" fontId="0" fillId="3" borderId="0" xfId="0" applyNumberFormat="1" applyFont="1" applyFill="1" applyBorder="1" applyAlignment="1">
      <alignment horizontal="left" vertical="center"/>
    </xf>
    <xf numFmtId="2" fontId="3" fillId="3" borderId="0" xfId="0" applyNumberFormat="1" applyFont="1" applyFill="1" applyBorder="1" applyAlignment="1">
      <alignment horizontal="left" vertical="center"/>
    </xf>
    <xf numFmtId="2" fontId="2" fillId="3" borderId="0" xfId="0" applyNumberFormat="1" applyFont="1" applyFill="1" applyBorder="1" applyAlignment="1">
      <alignment horizontal="left" vertical="center"/>
    </xf>
    <xf numFmtId="2" fontId="3" fillId="2" borderId="0" xfId="0" applyNumberFormat="1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1" fontId="0" fillId="7" borderId="0" xfId="1" applyNumberFormat="1" applyFont="1" applyFill="1" applyBorder="1" applyAlignment="1" applyProtection="1">
      <alignment horizontal="left" vertical="center"/>
      <protection locked="0"/>
    </xf>
    <xf numFmtId="0" fontId="0" fillId="7" borderId="0" xfId="0" applyFont="1" applyFill="1" applyBorder="1" applyAlignment="1">
      <alignment horizontal="left" vertical="center"/>
    </xf>
    <xf numFmtId="2" fontId="0" fillId="7" borderId="0" xfId="0" applyNumberFormat="1" applyFont="1" applyFill="1" applyBorder="1" applyAlignment="1">
      <alignment horizontal="left" vertical="center"/>
    </xf>
    <xf numFmtId="164" fontId="0" fillId="7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7" borderId="0" xfId="0" applyNumberFormat="1" applyFont="1" applyFill="1" applyBorder="1" applyAlignment="1">
      <alignment horizontal="left" vertical="center"/>
    </xf>
    <xf numFmtId="1" fontId="0" fillId="6" borderId="0" xfId="0" applyNumberFormat="1" applyFont="1" applyFill="1" applyBorder="1" applyAlignment="1">
      <alignment horizontal="left" vertical="center"/>
    </xf>
    <xf numFmtId="165" fontId="0" fillId="3" borderId="0" xfId="0" applyNumberFormat="1" applyFont="1" applyFill="1" applyBorder="1" applyAlignment="1">
      <alignment horizontal="left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colors>
    <mruColors>
      <color rgb="FFCCFFCC"/>
      <color rgb="FFFFFFCC"/>
      <color rgb="FFFFFF99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08755421816107"/>
          <c:y val="0.20606125570352546"/>
          <c:w val="0.76081081047416022"/>
          <c:h val="0.75053395557489622"/>
        </c:manualLayout>
      </c:layout>
      <c:scatterChart>
        <c:scatterStyle val="lineMarker"/>
        <c:varyColors val="0"/>
        <c:ser>
          <c:idx val="1"/>
          <c:order val="0"/>
          <c:xVal>
            <c:numRef>
              <c:f>'P25'!$U$2:$U$32</c:f>
              <c:numCache>
                <c:formatCode>0</c:formatCode>
                <c:ptCount val="31"/>
                <c:pt idx="0">
                  <c:v>0</c:v>
                </c:pt>
                <c:pt idx="1">
                  <c:v>1647.5208424285227</c:v>
                </c:pt>
                <c:pt idx="2">
                  <c:v>3295.0416848570453</c:v>
                </c:pt>
                <c:pt idx="3">
                  <c:v>4942.5625272855677</c:v>
                </c:pt>
                <c:pt idx="4">
                  <c:v>6590.0833697140906</c:v>
                </c:pt>
                <c:pt idx="5">
                  <c:v>8155.228170021187</c:v>
                </c:pt>
                <c:pt idx="6">
                  <c:v>6590.0833697140906</c:v>
                </c:pt>
                <c:pt idx="7">
                  <c:v>4942.5625272855677</c:v>
                </c:pt>
                <c:pt idx="8">
                  <c:v>3295.0416848570453</c:v>
                </c:pt>
                <c:pt idx="9">
                  <c:v>1647.5208424285227</c:v>
                </c:pt>
                <c:pt idx="10">
                  <c:v>0</c:v>
                </c:pt>
              </c:numCache>
            </c:numRef>
          </c:xVal>
          <c:yVal>
            <c:numRef>
              <c:f>'P25'!$V$2:$V$32</c:f>
              <c:numCache>
                <c:formatCode>0.00</c:formatCode>
                <c:ptCount val="31"/>
                <c:pt idx="0">
                  <c:v>0.36494550366167955</c:v>
                </c:pt>
                <c:pt idx="1">
                  <c:v>3.3260802601874091</c:v>
                </c:pt>
                <c:pt idx="2">
                  <c:v>7.3776808574886878</c:v>
                </c:pt>
                <c:pt idx="3">
                  <c:v>14.057048110729481</c:v>
                </c:pt>
                <c:pt idx="4">
                  <c:v>28.943745718057663</c:v>
                </c:pt>
                <c:pt idx="5">
                  <c:v>107.24633539931902</c:v>
                </c:pt>
                <c:pt idx="6">
                  <c:v>104.99963344709074</c:v>
                </c:pt>
                <c:pt idx="7">
                  <c:v>102.61866057802308</c:v>
                </c:pt>
                <c:pt idx="8">
                  <c:v>99.944253499971126</c:v>
                </c:pt>
                <c:pt idx="9">
                  <c:v>96.828987487350872</c:v>
                </c:pt>
                <c:pt idx="10">
                  <c:v>93.234448954101069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D2F-8289-51146AA18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483840"/>
        <c:axId val="418632960"/>
      </c:scatterChart>
      <c:valAx>
        <c:axId val="53848384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Head Stress (kPa)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8632960"/>
        <c:crosses val="autoZero"/>
        <c:crossBetween val="midCat"/>
      </c:valAx>
      <c:valAx>
        <c:axId val="4186329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Settlements (mm)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384838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16167485433321"/>
          <c:y val="0.18453114148368918"/>
          <c:w val="0.74098105017417804"/>
          <c:h val="0.7538549649900301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'P25'!$X$2:$X$42</c:f>
              <c:numCache>
                <c:formatCode>0</c:formatCode>
                <c:ptCount val="41"/>
                <c:pt idx="0">
                  <c:v>0</c:v>
                </c:pt>
                <c:pt idx="1">
                  <c:v>12.289085172729697</c:v>
                </c:pt>
                <c:pt idx="2">
                  <c:v>24.156546970214311</c:v>
                </c:pt>
                <c:pt idx="3">
                  <c:v>35.604202293459338</c:v>
                </c:pt>
                <c:pt idx="4">
                  <c:v>46.636215425051127</c:v>
                </c:pt>
                <c:pt idx="5">
                  <c:v>57.258732570637513</c:v>
                </c:pt>
                <c:pt idx="6">
                  <c:v>67.479772105936604</c:v>
                </c:pt>
                <c:pt idx="7">
                  <c:v>77.309184555714523</c:v>
                </c:pt>
                <c:pt idx="8">
                  <c:v>86.758661009279308</c:v>
                </c:pt>
                <c:pt idx="9">
                  <c:v>95.841463356108065</c:v>
                </c:pt>
                <c:pt idx="10">
                  <c:v>104.57230590642297</c:v>
                </c:pt>
                <c:pt idx="11">
                  <c:v>112.96764001301747</c:v>
                </c:pt>
                <c:pt idx="12">
                  <c:v>121.04520018461494</c:v>
                </c:pt>
                <c:pt idx="13">
                  <c:v>128.82380277127805</c:v>
                </c:pt>
                <c:pt idx="14">
                  <c:v>136.3236818482288</c:v>
                </c:pt>
                <c:pt idx="15">
                  <c:v>143.56634847414526</c:v>
                </c:pt>
                <c:pt idx="16">
                  <c:v>150.57456486272008</c:v>
                </c:pt>
                <c:pt idx="17">
                  <c:v>157.37220213947722</c:v>
                </c:pt>
                <c:pt idx="18">
                  <c:v>163.98410448846897</c:v>
                </c:pt>
                <c:pt idx="19">
                  <c:v>170.43619794930262</c:v>
                </c:pt>
                <c:pt idx="20">
                  <c:v>176.75510645043545</c:v>
                </c:pt>
                <c:pt idx="21">
                  <c:v>182.9684712741996</c:v>
                </c:pt>
                <c:pt idx="22">
                  <c:v>189.10608364144372</c:v>
                </c:pt>
                <c:pt idx="23">
                  <c:v>195.19870792714102</c:v>
                </c:pt>
                <c:pt idx="24">
                  <c:v>201.27749918480069</c:v>
                </c:pt>
                <c:pt idx="25">
                  <c:v>207.37436634922557</c:v>
                </c:pt>
                <c:pt idx="26">
                  <c:v>213.5219540852253</c:v>
                </c:pt>
                <c:pt idx="27">
                  <c:v>219.75430724260059</c:v>
                </c:pt>
                <c:pt idx="28">
                  <c:v>226.10695381875408</c:v>
                </c:pt>
                <c:pt idx="29">
                  <c:v>232.61666047617575</c:v>
                </c:pt>
                <c:pt idx="30">
                  <c:v>239.32138881179634</c:v>
                </c:pt>
                <c:pt idx="31">
                  <c:v>246.26055957896591</c:v>
                </c:pt>
                <c:pt idx="32">
                  <c:v>253.47517864193836</c:v>
                </c:pt>
                <c:pt idx="33">
                  <c:v>261.0078821277757</c:v>
                </c:pt>
                <c:pt idx="34">
                  <c:v>268.90301116053945</c:v>
                </c:pt>
                <c:pt idx="35">
                  <c:v>277.20667830691065</c:v>
                </c:pt>
                <c:pt idx="36">
                  <c:v>285.9669427761898</c:v>
                </c:pt>
                <c:pt idx="37">
                  <c:v>295.23398375976222</c:v>
                </c:pt>
                <c:pt idx="38">
                  <c:v>305.06020786004024</c:v>
                </c:pt>
                <c:pt idx="39">
                  <c:v>315.50033455863002</c:v>
                </c:pt>
                <c:pt idx="40">
                  <c:v>326.61126152683914</c:v>
                </c:pt>
              </c:numCache>
            </c:numRef>
          </c:xVal>
          <c:yVal>
            <c:numRef>
              <c:f>'P25'!$D$2:$D$42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0.15000000000000002</c:v>
                </c:pt>
                <c:pt idx="7">
                  <c:v>0.17500000000000002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0.30000000000000004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</c:v>
                </c:pt>
                <c:pt idx="16">
                  <c:v>0.4</c:v>
                </c:pt>
                <c:pt idx="17">
                  <c:v>0.42500000000000004</c:v>
                </c:pt>
                <c:pt idx="18">
                  <c:v>0.45</c:v>
                </c:pt>
                <c:pt idx="19">
                  <c:v>0.47500000000000003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0.57500000000000007</c:v>
                </c:pt>
                <c:pt idx="24">
                  <c:v>0.60000000000000009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0.70000000000000007</c:v>
                </c:pt>
                <c:pt idx="29">
                  <c:v>0.72500000000000009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0.82500000000000007</c:v>
                </c:pt>
                <c:pt idx="34">
                  <c:v>0.85000000000000009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0.95000000000000007</c:v>
                </c:pt>
                <c:pt idx="39">
                  <c:v>0.97500000000000009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09-44F2-AC39-BFD9FD3300C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'P25'!$Y$2:$Y$42</c:f>
              <c:numCache>
                <c:formatCode>0</c:formatCode>
                <c:ptCount val="41"/>
                <c:pt idx="0">
                  <c:v>1647.5208424285227</c:v>
                </c:pt>
                <c:pt idx="1">
                  <c:v>1658.4698447079534</c:v>
                </c:pt>
                <c:pt idx="2">
                  <c:v>1666.3402418528271</c:v>
                </c:pt>
                <c:pt idx="3">
                  <c:v>1671.1792335948489</c:v>
                </c:pt>
                <c:pt idx="4">
                  <c:v>1673.034487034003</c:v>
                </c:pt>
                <c:pt idx="5">
                  <c:v>1671.9537914710811</c:v>
                </c:pt>
                <c:pt idx="6">
                  <c:v>1667.9849349401104</c:v>
                </c:pt>
                <c:pt idx="7">
                  <c:v>1661.1755043580108</c:v>
                </c:pt>
                <c:pt idx="8">
                  <c:v>1651.5727977422866</c:v>
                </c:pt>
                <c:pt idx="9">
                  <c:v>1639.2234520217523</c:v>
                </c:pt>
                <c:pt idx="10">
                  <c:v>1624.1733445002249</c:v>
                </c:pt>
                <c:pt idx="11">
                  <c:v>1606.809770237141</c:v>
                </c:pt>
                <c:pt idx="12">
                  <c:v>1587.615215352389</c:v>
                </c:pt>
                <c:pt idx="13">
                  <c:v>1566.7913886384802</c:v>
                </c:pt>
                <c:pt idx="14">
                  <c:v>1544.5034936969298</c:v>
                </c:pt>
                <c:pt idx="15">
                  <c:v>1520.912217121564</c:v>
                </c:pt>
                <c:pt idx="16">
                  <c:v>1496.173691888144</c:v>
                </c:pt>
                <c:pt idx="17">
                  <c:v>1470.4394810219824</c:v>
                </c:pt>
                <c:pt idx="18">
                  <c:v>1443.8563996117207</c:v>
                </c:pt>
                <c:pt idx="19">
                  <c:v>1416.566191634869</c:v>
                </c:pt>
                <c:pt idx="20">
                  <c:v>1388.7049637820869</c:v>
                </c:pt>
                <c:pt idx="21">
                  <c:v>1360.403995313402</c:v>
                </c:pt>
                <c:pt idx="22">
                  <c:v>1331.7907742557759</c:v>
                </c:pt>
                <c:pt idx="23">
                  <c:v>1302.9878469432006</c:v>
                </c:pt>
                <c:pt idx="24">
                  <c:v>1274.1124359786438</c:v>
                </c:pt>
                <c:pt idx="25">
                  <c:v>1245.2768837698723</c:v>
                </c:pt>
                <c:pt idx="26">
                  <c:v>1216.5926128216706</c:v>
                </c:pt>
                <c:pt idx="27">
                  <c:v>1188.1828410616479</c:v>
                </c:pt>
                <c:pt idx="28">
                  <c:v>1160.1629337214335</c:v>
                </c:pt>
                <c:pt idx="29">
                  <c:v>1132.628087781002</c:v>
                </c:pt>
                <c:pt idx="30">
                  <c:v>1105.6692712638933</c:v>
                </c:pt>
                <c:pt idx="31">
                  <c:v>1079.3736358985611</c:v>
                </c:pt>
                <c:pt idx="32">
                  <c:v>1053.8248413001661</c:v>
                </c:pt>
                <c:pt idx="33">
                  <c:v>1029.1033148090594</c:v>
                </c:pt>
                <c:pt idx="34">
                  <c:v>1005.2864940252894</c:v>
                </c:pt>
                <c:pt idx="35">
                  <c:v>982.44963278153023</c:v>
                </c:pt>
                <c:pt idx="36">
                  <c:v>960.66512202086699</c:v>
                </c:pt>
                <c:pt idx="37">
                  <c:v>940.00318958084767</c:v>
                </c:pt>
                <c:pt idx="38">
                  <c:v>920.53302524431365</c:v>
                </c:pt>
                <c:pt idx="39">
                  <c:v>902.32248585461605</c:v>
                </c:pt>
                <c:pt idx="40">
                  <c:v>885.43031283782909</c:v>
                </c:pt>
              </c:numCache>
            </c:numRef>
          </c:xVal>
          <c:yVal>
            <c:numRef>
              <c:f>'P25'!$D$2:$D$42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0.15000000000000002</c:v>
                </c:pt>
                <c:pt idx="7">
                  <c:v>0.17500000000000002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0.30000000000000004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</c:v>
                </c:pt>
                <c:pt idx="16">
                  <c:v>0.4</c:v>
                </c:pt>
                <c:pt idx="17">
                  <c:v>0.42500000000000004</c:v>
                </c:pt>
                <c:pt idx="18">
                  <c:v>0.45</c:v>
                </c:pt>
                <c:pt idx="19">
                  <c:v>0.47500000000000003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0.57500000000000007</c:v>
                </c:pt>
                <c:pt idx="24">
                  <c:v>0.60000000000000009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0.70000000000000007</c:v>
                </c:pt>
                <c:pt idx="29">
                  <c:v>0.72500000000000009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0.82500000000000007</c:v>
                </c:pt>
                <c:pt idx="34">
                  <c:v>0.85000000000000009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0.95000000000000007</c:v>
                </c:pt>
                <c:pt idx="39">
                  <c:v>0.97500000000000009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376-4515-B0D5-389FE2CF9FE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'P25'!$Z$2:$Z$42</c:f>
              <c:numCache>
                <c:formatCode>0</c:formatCode>
                <c:ptCount val="41"/>
                <c:pt idx="0">
                  <c:v>3295.0416848570453</c:v>
                </c:pt>
                <c:pt idx="1">
                  <c:v>3305.4176207938272</c:v>
                </c:pt>
                <c:pt idx="2">
                  <c:v>3311.5919846389547</c:v>
                </c:pt>
                <c:pt idx="3">
                  <c:v>3313.658205233176</c:v>
                </c:pt>
                <c:pt idx="4">
                  <c:v>3311.7101136308552</c:v>
                </c:pt>
                <c:pt idx="5">
                  <c:v>3305.841701885417</c:v>
                </c:pt>
                <c:pt idx="6">
                  <c:v>3296.147318811436</c:v>
                </c:pt>
                <c:pt idx="7">
                  <c:v>3282.7210490407829</c:v>
                </c:pt>
                <c:pt idx="8">
                  <c:v>3265.6564018916688</c:v>
                </c:pt>
                <c:pt idx="9">
                  <c:v>3245.046103674305</c:v>
                </c:pt>
                <c:pt idx="10">
                  <c:v>3220.9813313496265</c:v>
                </c:pt>
                <c:pt idx="11">
                  <c:v>3193.550535396801</c:v>
                </c:pt>
                <c:pt idx="12">
                  <c:v>3162.8405101265525</c:v>
                </c:pt>
                <c:pt idx="13">
                  <c:v>3128.9375138925384</c:v>
                </c:pt>
                <c:pt idx="14">
                  <c:v>3091.9260153504397</c:v>
                </c:pt>
                <c:pt idx="15">
                  <c:v>3051.8884742529508</c:v>
                </c:pt>
                <c:pt idx="16">
                  <c:v>3008.9052521715444</c:v>
                </c:pt>
                <c:pt idx="17">
                  <c:v>2963.0544470689247</c:v>
                </c:pt>
                <c:pt idx="18">
                  <c:v>2914.4117371004932</c:v>
                </c:pt>
                <c:pt idx="19">
                  <c:v>2863.0502495280011</c:v>
                </c:pt>
                <c:pt idx="20">
                  <c:v>2809.0400998762361</c:v>
                </c:pt>
                <c:pt idx="21">
                  <c:v>2752.4486322586313</c:v>
                </c:pt>
                <c:pt idx="22">
                  <c:v>2693.3404300380384</c:v>
                </c:pt>
                <c:pt idx="23">
                  <c:v>2631.7769293206497</c:v>
                </c:pt>
                <c:pt idx="24">
                  <c:v>2567.8161094752118</c:v>
                </c:pt>
                <c:pt idx="25">
                  <c:v>2501.512524206647</c:v>
                </c:pt>
                <c:pt idx="26">
                  <c:v>2432.9181003381473</c:v>
                </c:pt>
                <c:pt idx="27">
                  <c:v>2362.0851006493399</c:v>
                </c:pt>
                <c:pt idx="28">
                  <c:v>2289.0611894917847</c:v>
                </c:pt>
                <c:pt idx="29">
                  <c:v>2213.8859994677987</c:v>
                </c:pt>
                <c:pt idx="30">
                  <c:v>2136.5950624554248</c:v>
                </c:pt>
                <c:pt idx="31">
                  <c:v>2057.2196484819929</c:v>
                </c:pt>
                <c:pt idx="32">
                  <c:v>1975.7867661450259</c:v>
                </c:pt>
                <c:pt idx="33">
                  <c:v>1892.3190249419417</c:v>
                </c:pt>
                <c:pt idx="34">
                  <c:v>1806.8345422425637</c:v>
                </c:pt>
                <c:pt idx="35">
                  <c:v>1719.4199075934789</c:v>
                </c:pt>
                <c:pt idx="36">
                  <c:v>1631.4173543124766</c:v>
                </c:pt>
                <c:pt idx="37">
                  <c:v>1544.1010899168143</c:v>
                </c:pt>
                <c:pt idx="38">
                  <c:v>1457.4859364701979</c:v>
                </c:pt>
                <c:pt idx="39">
                  <c:v>1371.5744574011881</c:v>
                </c:pt>
                <c:pt idx="40">
                  <c:v>1286.3399889740922</c:v>
                </c:pt>
              </c:numCache>
            </c:numRef>
          </c:xVal>
          <c:yVal>
            <c:numRef>
              <c:f>'P25'!$D$2:$D$42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0.15000000000000002</c:v>
                </c:pt>
                <c:pt idx="7">
                  <c:v>0.17500000000000002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0.30000000000000004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</c:v>
                </c:pt>
                <c:pt idx="16">
                  <c:v>0.4</c:v>
                </c:pt>
                <c:pt idx="17">
                  <c:v>0.42500000000000004</c:v>
                </c:pt>
                <c:pt idx="18">
                  <c:v>0.45</c:v>
                </c:pt>
                <c:pt idx="19">
                  <c:v>0.47500000000000003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0.57500000000000007</c:v>
                </c:pt>
                <c:pt idx="24">
                  <c:v>0.60000000000000009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0.70000000000000007</c:v>
                </c:pt>
                <c:pt idx="29">
                  <c:v>0.72500000000000009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0.82500000000000007</c:v>
                </c:pt>
                <c:pt idx="34">
                  <c:v>0.85000000000000009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0.95000000000000007</c:v>
                </c:pt>
                <c:pt idx="39">
                  <c:v>0.97500000000000009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376-4515-B0D5-389FE2CF9FE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'P25'!$AA$2:$AA$42</c:f>
              <c:numCache>
                <c:formatCode>0</c:formatCode>
                <c:ptCount val="41"/>
                <c:pt idx="0">
                  <c:v>4942.5625272855677</c:v>
                </c:pt>
                <c:pt idx="1">
                  <c:v>4952.1763866781057</c:v>
                </c:pt>
                <c:pt idx="2">
                  <c:v>4956.0179318809178</c:v>
                </c:pt>
                <c:pt idx="3">
                  <c:v>4954.0870929688754</c:v>
                </c:pt>
                <c:pt idx="4">
                  <c:v>4946.3838020949242</c:v>
                </c:pt>
                <c:pt idx="5">
                  <c:v>4932.9080036051046</c:v>
                </c:pt>
                <c:pt idx="6">
                  <c:v>4913.6596329491231</c:v>
                </c:pt>
                <c:pt idx="7">
                  <c:v>4888.7899671048681</c:v>
                </c:pt>
                <c:pt idx="8">
                  <c:v>4858.5962690487268</c:v>
                </c:pt>
                <c:pt idx="9">
                  <c:v>4823.2948007448222</c:v>
                </c:pt>
                <c:pt idx="10">
                  <c:v>4783.0223676096812</c:v>
                </c:pt>
                <c:pt idx="11">
                  <c:v>4737.9099181785368</c:v>
                </c:pt>
                <c:pt idx="12">
                  <c:v>4688.0857857493884</c:v>
                </c:pt>
                <c:pt idx="13">
                  <c:v>4633.676673348341</c:v>
                </c:pt>
                <c:pt idx="14">
                  <c:v>4574.8062438527495</c:v>
                </c:pt>
                <c:pt idx="15">
                  <c:v>4511.5950361981013</c:v>
                </c:pt>
                <c:pt idx="16">
                  <c:v>4444.1603251085335</c:v>
                </c:pt>
                <c:pt idx="17">
                  <c:v>4372.6156409664218</c:v>
                </c:pt>
                <c:pt idx="18">
                  <c:v>4297.0710219834136</c:v>
                </c:pt>
                <c:pt idx="19">
                  <c:v>4217.6326166715653</c:v>
                </c:pt>
                <c:pt idx="20">
                  <c:v>4134.402277221483</c:v>
                </c:pt>
                <c:pt idx="21">
                  <c:v>4047.4775886346742</c:v>
                </c:pt>
                <c:pt idx="22">
                  <c:v>3956.951967831174</c:v>
                </c:pt>
                <c:pt idx="23">
                  <c:v>3862.9143581772046</c:v>
                </c:pt>
                <c:pt idx="24">
                  <c:v>3765.4485879764802</c:v>
                </c:pt>
                <c:pt idx="25">
                  <c:v>3664.633628464027</c:v>
                </c:pt>
                <c:pt idx="26">
                  <c:v>3560.5442170585493</c:v>
                </c:pt>
                <c:pt idx="27">
                  <c:v>3453.2535110584527</c:v>
                </c:pt>
                <c:pt idx="28">
                  <c:v>3342.8286083338339</c:v>
                </c:pt>
                <c:pt idx="29">
                  <c:v>3229.3304698267712</c:v>
                </c:pt>
                <c:pt idx="30">
                  <c:v>3112.8141847856155</c:v>
                </c:pt>
                <c:pt idx="31">
                  <c:v>2993.3249954049238</c:v>
                </c:pt>
                <c:pt idx="32">
                  <c:v>2870.901526420841</c:v>
                </c:pt>
                <c:pt idx="33">
                  <c:v>2745.575911843915</c:v>
                </c:pt>
                <c:pt idx="34">
                  <c:v>2617.3736714697534</c:v>
                </c:pt>
                <c:pt idx="35">
                  <c:v>2486.3132469331867</c:v>
                </c:pt>
                <c:pt idx="36">
                  <c:v>2352.4037904120169</c:v>
                </c:pt>
                <c:pt idx="37">
                  <c:v>2215.6489293133191</c:v>
                </c:pt>
                <c:pt idx="38">
                  <c:v>2076.0487226038063</c:v>
                </c:pt>
                <c:pt idx="39">
                  <c:v>1933.596241971376</c:v>
                </c:pt>
                <c:pt idx="40">
                  <c:v>1788.3022810951568</c:v>
                </c:pt>
              </c:numCache>
            </c:numRef>
          </c:xVal>
          <c:yVal>
            <c:numRef>
              <c:f>'P25'!$D$2:$D$42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0.15000000000000002</c:v>
                </c:pt>
                <c:pt idx="7">
                  <c:v>0.17500000000000002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0.30000000000000004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</c:v>
                </c:pt>
                <c:pt idx="16">
                  <c:v>0.4</c:v>
                </c:pt>
                <c:pt idx="17">
                  <c:v>0.42500000000000004</c:v>
                </c:pt>
                <c:pt idx="18">
                  <c:v>0.45</c:v>
                </c:pt>
                <c:pt idx="19">
                  <c:v>0.47500000000000003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0.57500000000000007</c:v>
                </c:pt>
                <c:pt idx="24">
                  <c:v>0.60000000000000009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0.70000000000000007</c:v>
                </c:pt>
                <c:pt idx="29">
                  <c:v>0.72500000000000009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0.82500000000000007</c:v>
                </c:pt>
                <c:pt idx="34">
                  <c:v>0.85000000000000009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0.95000000000000007</c:v>
                </c:pt>
                <c:pt idx="39">
                  <c:v>0.97500000000000009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376-4515-B0D5-389FE2CF9FE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'P25'!$AB$2:$AB$42</c:f>
              <c:numCache>
                <c:formatCode>0</c:formatCode>
                <c:ptCount val="41"/>
                <c:pt idx="0">
                  <c:v>6590.0833697140906</c:v>
                </c:pt>
                <c:pt idx="1">
                  <c:v>6599.6966183978075</c:v>
                </c:pt>
                <c:pt idx="2">
                  <c:v>6603.5363644489571</c:v>
                </c:pt>
                <c:pt idx="3">
                  <c:v>6601.6026078675404</c:v>
                </c:pt>
                <c:pt idx="4">
                  <c:v>6593.8953486535565</c:v>
                </c:pt>
                <c:pt idx="5">
                  <c:v>6580.4145868070054</c:v>
                </c:pt>
                <c:pt idx="6">
                  <c:v>6561.160322327888</c:v>
                </c:pt>
                <c:pt idx="7">
                  <c:v>6536.1325552162034</c:v>
                </c:pt>
                <c:pt idx="8">
                  <c:v>6505.3312854719525</c:v>
                </c:pt>
                <c:pt idx="9">
                  <c:v>6468.7565130951343</c:v>
                </c:pt>
                <c:pt idx="10">
                  <c:v>6426.4082380857499</c:v>
                </c:pt>
                <c:pt idx="11">
                  <c:v>6378.2864604437982</c:v>
                </c:pt>
                <c:pt idx="12">
                  <c:v>6324.3911801692793</c:v>
                </c:pt>
                <c:pt idx="13">
                  <c:v>6264.7223972621941</c:v>
                </c:pt>
                <c:pt idx="14">
                  <c:v>6199.2801117225417</c:v>
                </c:pt>
                <c:pt idx="15">
                  <c:v>6128.064323550323</c:v>
                </c:pt>
                <c:pt idx="16">
                  <c:v>6051.0750327455371</c:v>
                </c:pt>
                <c:pt idx="17">
                  <c:v>5968.3122393081849</c:v>
                </c:pt>
                <c:pt idx="18">
                  <c:v>5879.7759432382654</c:v>
                </c:pt>
                <c:pt idx="19">
                  <c:v>5785.4661445357797</c:v>
                </c:pt>
                <c:pt idx="20">
                  <c:v>5685.3828432007267</c:v>
                </c:pt>
                <c:pt idx="21">
                  <c:v>5579.5260392331065</c:v>
                </c:pt>
                <c:pt idx="22">
                  <c:v>5467.89573263292</c:v>
                </c:pt>
                <c:pt idx="23">
                  <c:v>5350.4919234001663</c:v>
                </c:pt>
                <c:pt idx="24">
                  <c:v>5227.3146115348463</c:v>
                </c:pt>
                <c:pt idx="25">
                  <c:v>5098.3637970369591</c:v>
                </c:pt>
                <c:pt idx="26">
                  <c:v>4963.6394799065056</c:v>
                </c:pt>
                <c:pt idx="27">
                  <c:v>4823.1416601434848</c:v>
                </c:pt>
                <c:pt idx="28">
                  <c:v>4676.8703377478969</c:v>
                </c:pt>
                <c:pt idx="29">
                  <c:v>4524.8255127197426</c:v>
                </c:pt>
                <c:pt idx="30">
                  <c:v>4367.0071850590211</c:v>
                </c:pt>
                <c:pt idx="31">
                  <c:v>4203.4153547657334</c:v>
                </c:pt>
                <c:pt idx="32">
                  <c:v>4034.0500218398784</c:v>
                </c:pt>
                <c:pt idx="33">
                  <c:v>3858.9111862814566</c:v>
                </c:pt>
                <c:pt idx="34">
                  <c:v>3677.9988480904681</c:v>
                </c:pt>
                <c:pt idx="35">
                  <c:v>3491.3130072669128</c:v>
                </c:pt>
                <c:pt idx="36">
                  <c:v>3298.8536638107907</c:v>
                </c:pt>
                <c:pt idx="37">
                  <c:v>3100.6208177221019</c:v>
                </c:pt>
                <c:pt idx="38">
                  <c:v>2896.6144690008464</c:v>
                </c:pt>
                <c:pt idx="39">
                  <c:v>2686.8346176470236</c:v>
                </c:pt>
                <c:pt idx="40">
                  <c:v>2471.2812636606341</c:v>
                </c:pt>
              </c:numCache>
            </c:numRef>
          </c:xVal>
          <c:yVal>
            <c:numRef>
              <c:f>'P25'!$D$2:$D$42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0.15000000000000002</c:v>
                </c:pt>
                <c:pt idx="7">
                  <c:v>0.17500000000000002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0.30000000000000004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</c:v>
                </c:pt>
                <c:pt idx="16">
                  <c:v>0.4</c:v>
                </c:pt>
                <c:pt idx="17">
                  <c:v>0.42500000000000004</c:v>
                </c:pt>
                <c:pt idx="18">
                  <c:v>0.45</c:v>
                </c:pt>
                <c:pt idx="19">
                  <c:v>0.47500000000000003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0.57500000000000007</c:v>
                </c:pt>
                <c:pt idx="24">
                  <c:v>0.60000000000000009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0.70000000000000007</c:v>
                </c:pt>
                <c:pt idx="29">
                  <c:v>0.72500000000000009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0.82500000000000007</c:v>
                </c:pt>
                <c:pt idx="34">
                  <c:v>0.85000000000000009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0.95000000000000007</c:v>
                </c:pt>
                <c:pt idx="39">
                  <c:v>0.97500000000000009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376-4515-B0D5-389FE2CF9FE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'P25'!$AC$2:$AC$42</c:f>
              <c:numCache>
                <c:formatCode>0</c:formatCode>
                <c:ptCount val="41"/>
                <c:pt idx="0">
                  <c:v>8155.228170021187</c:v>
                </c:pt>
                <c:pt idx="1">
                  <c:v>8164.8414187049038</c:v>
                </c:pt>
                <c:pt idx="2">
                  <c:v>8168.6811647560535</c:v>
                </c:pt>
                <c:pt idx="3">
                  <c:v>8166.7474081746368</c:v>
                </c:pt>
                <c:pt idx="4">
                  <c:v>8159.0401489606529</c:v>
                </c:pt>
                <c:pt idx="5">
                  <c:v>8145.5593871141018</c:v>
                </c:pt>
                <c:pt idx="6">
                  <c:v>8126.3051226349844</c:v>
                </c:pt>
                <c:pt idx="7">
                  <c:v>8101.2773555232998</c:v>
                </c:pt>
                <c:pt idx="8">
                  <c:v>8070.4760857790488</c:v>
                </c:pt>
                <c:pt idx="9">
                  <c:v>8033.9013134022307</c:v>
                </c:pt>
                <c:pt idx="10">
                  <c:v>7991.5530383928462</c:v>
                </c:pt>
                <c:pt idx="11">
                  <c:v>7943.4312607508946</c:v>
                </c:pt>
                <c:pt idx="12">
                  <c:v>7889.5359804763757</c:v>
                </c:pt>
                <c:pt idx="13">
                  <c:v>7829.8671975692905</c:v>
                </c:pt>
                <c:pt idx="14">
                  <c:v>7764.4249120296381</c:v>
                </c:pt>
                <c:pt idx="15">
                  <c:v>7693.2091238574194</c:v>
                </c:pt>
                <c:pt idx="16">
                  <c:v>7616.2198330526335</c:v>
                </c:pt>
                <c:pt idx="17">
                  <c:v>7533.4570396152812</c:v>
                </c:pt>
                <c:pt idx="18">
                  <c:v>7444.9207435453618</c:v>
                </c:pt>
                <c:pt idx="19">
                  <c:v>7350.6109448428761</c:v>
                </c:pt>
                <c:pt idx="20">
                  <c:v>7250.5276435078231</c:v>
                </c:pt>
                <c:pt idx="21">
                  <c:v>7144.6708395402029</c:v>
                </c:pt>
                <c:pt idx="22">
                  <c:v>7033.0405329400164</c:v>
                </c:pt>
                <c:pt idx="23">
                  <c:v>6915.6367237072627</c:v>
                </c:pt>
                <c:pt idx="24">
                  <c:v>6792.4594118419427</c:v>
                </c:pt>
                <c:pt idx="25">
                  <c:v>6663.5085973440555</c:v>
                </c:pt>
                <c:pt idx="26">
                  <c:v>6528.784280213602</c:v>
                </c:pt>
                <c:pt idx="27">
                  <c:v>6388.2864604505812</c:v>
                </c:pt>
                <c:pt idx="28">
                  <c:v>6242.0151380549933</c:v>
                </c:pt>
                <c:pt idx="29">
                  <c:v>6089.970313026839</c:v>
                </c:pt>
                <c:pt idx="30">
                  <c:v>5932.1519853661175</c:v>
                </c:pt>
                <c:pt idx="31">
                  <c:v>5768.5601550728297</c:v>
                </c:pt>
                <c:pt idx="32">
                  <c:v>5599.1948221469747</c:v>
                </c:pt>
                <c:pt idx="33">
                  <c:v>5424.0559865885534</c:v>
                </c:pt>
                <c:pt idx="34">
                  <c:v>5243.1436483975649</c:v>
                </c:pt>
                <c:pt idx="35">
                  <c:v>5056.4578075740092</c:v>
                </c:pt>
                <c:pt idx="36">
                  <c:v>4863.9984641178871</c:v>
                </c:pt>
                <c:pt idx="37">
                  <c:v>4665.7656180291979</c:v>
                </c:pt>
                <c:pt idx="38">
                  <c:v>4461.7592693079423</c:v>
                </c:pt>
                <c:pt idx="39">
                  <c:v>4251.9794179541195</c:v>
                </c:pt>
                <c:pt idx="40">
                  <c:v>4036.42606396773</c:v>
                </c:pt>
              </c:numCache>
            </c:numRef>
          </c:xVal>
          <c:yVal>
            <c:numRef>
              <c:f>'P25'!$D$2:$D$42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0.15000000000000002</c:v>
                </c:pt>
                <c:pt idx="7">
                  <c:v>0.17500000000000002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0.30000000000000004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</c:v>
                </c:pt>
                <c:pt idx="16">
                  <c:v>0.4</c:v>
                </c:pt>
                <c:pt idx="17">
                  <c:v>0.42500000000000004</c:v>
                </c:pt>
                <c:pt idx="18">
                  <c:v>0.45</c:v>
                </c:pt>
                <c:pt idx="19">
                  <c:v>0.47500000000000003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0.57500000000000007</c:v>
                </c:pt>
                <c:pt idx="24">
                  <c:v>0.60000000000000009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0.70000000000000007</c:v>
                </c:pt>
                <c:pt idx="29">
                  <c:v>0.72500000000000009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0.82500000000000007</c:v>
                </c:pt>
                <c:pt idx="34">
                  <c:v>0.85000000000000009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0.95000000000000007</c:v>
                </c:pt>
                <c:pt idx="39">
                  <c:v>0.97500000000000009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376-4515-B0D5-389FE2CF9FE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'P25'!$AD$2:$AD$42</c:f>
              <c:numCache>
                <c:formatCode>0</c:formatCode>
                <c:ptCount val="41"/>
                <c:pt idx="0">
                  <c:v>6590.0833697140906</c:v>
                </c:pt>
                <c:pt idx="1">
                  <c:v>6602.2062678679122</c:v>
                </c:pt>
                <c:pt idx="2">
                  <c:v>6613.4064157528637</c:v>
                </c:pt>
                <c:pt idx="3">
                  <c:v>6623.3481023433951</c:v>
                </c:pt>
                <c:pt idx="4">
                  <c:v>6631.6994351627636</c:v>
                </c:pt>
                <c:pt idx="5">
                  <c:v>6638.1311149723197</c:v>
                </c:pt>
                <c:pt idx="6">
                  <c:v>6642.3089896073643</c:v>
                </c:pt>
                <c:pt idx="7">
                  <c:v>6643.9017072181059</c:v>
                </c:pt>
                <c:pt idx="8">
                  <c:v>6642.5902239994566</c:v>
                </c:pt>
                <c:pt idx="9">
                  <c:v>6638.0650220424495</c:v>
                </c:pt>
                <c:pt idx="10">
                  <c:v>6630.0274876562862</c:v>
                </c:pt>
                <c:pt idx="11">
                  <c:v>6618.1916590287474</c:v>
                </c:pt>
                <c:pt idx="12">
                  <c:v>6602.2845784580004</c:v>
                </c:pt>
                <c:pt idx="13">
                  <c:v>6582.0479576569915</c:v>
                </c:pt>
                <c:pt idx="14">
                  <c:v>6557.2391149363266</c:v>
                </c:pt>
                <c:pt idx="15">
                  <c:v>6527.629430343799</c:v>
                </c:pt>
                <c:pt idx="16">
                  <c:v>6493.0049661098983</c:v>
                </c:pt>
                <c:pt idx="17">
                  <c:v>6453.1679179254879</c:v>
                </c:pt>
                <c:pt idx="18">
                  <c:v>6407.9368751625234</c:v>
                </c:pt>
                <c:pt idx="19">
                  <c:v>6357.1467282773801</c:v>
                </c:pt>
                <c:pt idx="20">
                  <c:v>6300.6490741782309</c:v>
                </c:pt>
                <c:pt idx="21">
                  <c:v>6238.3104719908233</c:v>
                </c:pt>
                <c:pt idx="22">
                  <c:v>6170.0123313269814</c:v>
                </c:pt>
                <c:pt idx="23">
                  <c:v>6095.6518632489951</c:v>
                </c:pt>
                <c:pt idx="24">
                  <c:v>6015.141077284422</c:v>
                </c:pt>
                <c:pt idx="25">
                  <c:v>5928.4062970197974</c:v>
                </c:pt>
                <c:pt idx="26">
                  <c:v>5835.3878671326811</c:v>
                </c:pt>
                <c:pt idx="27">
                  <c:v>5736.0387568773831</c:v>
                </c:pt>
                <c:pt idx="28">
                  <c:v>5630.326510087204</c:v>
                </c:pt>
                <c:pt idx="29">
                  <c:v>5518.2308042805726</c:v>
                </c:pt>
                <c:pt idx="30">
                  <c:v>5399.7681788562595</c:v>
                </c:pt>
                <c:pt idx="31">
                  <c:v>5274.9734051401419</c:v>
                </c:pt>
                <c:pt idx="32">
                  <c:v>5143.8667938050367</c:v>
                </c:pt>
                <c:pt idx="33">
                  <c:v>5006.4751674424351</c:v>
                </c:pt>
                <c:pt idx="34">
                  <c:v>4862.8363402949562</c:v>
                </c:pt>
                <c:pt idx="35">
                  <c:v>4712.9990891630987</c:v>
                </c:pt>
                <c:pt idx="36">
                  <c:v>4557.0230611704073</c:v>
                </c:pt>
                <c:pt idx="37">
                  <c:v>4394.978870814014</c:v>
                </c:pt>
                <c:pt idx="38">
                  <c:v>4226.9483342983294</c:v>
                </c:pt>
                <c:pt idx="39">
                  <c:v>4053.0249388179122</c:v>
                </c:pt>
                <c:pt idx="40">
                  <c:v>3873.3168333356552</c:v>
                </c:pt>
              </c:numCache>
            </c:numRef>
          </c:xVal>
          <c:yVal>
            <c:numRef>
              <c:f>'P25'!$D$2:$D$42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0.15000000000000002</c:v>
                </c:pt>
                <c:pt idx="7">
                  <c:v>0.17500000000000002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0.30000000000000004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</c:v>
                </c:pt>
                <c:pt idx="16">
                  <c:v>0.4</c:v>
                </c:pt>
                <c:pt idx="17">
                  <c:v>0.42500000000000004</c:v>
                </c:pt>
                <c:pt idx="18">
                  <c:v>0.45</c:v>
                </c:pt>
                <c:pt idx="19">
                  <c:v>0.47500000000000003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0.57500000000000007</c:v>
                </c:pt>
                <c:pt idx="24">
                  <c:v>0.60000000000000009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0.70000000000000007</c:v>
                </c:pt>
                <c:pt idx="29">
                  <c:v>0.72500000000000009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0.82500000000000007</c:v>
                </c:pt>
                <c:pt idx="34">
                  <c:v>0.85000000000000009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0.95000000000000007</c:v>
                </c:pt>
                <c:pt idx="39">
                  <c:v>0.97500000000000009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376-4515-B0D5-389FE2CF9FE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'P25'!$AE$2:$AE$42</c:f>
              <c:numCache>
                <c:formatCode>0</c:formatCode>
                <c:ptCount val="41"/>
                <c:pt idx="0">
                  <c:v>4942.5625272855677</c:v>
                </c:pt>
                <c:pt idx="1">
                  <c:v>4956.6086339833982</c:v>
                </c:pt>
                <c:pt idx="2">
                  <c:v>4973.7028842465625</c:v>
                </c:pt>
                <c:pt idx="3">
                  <c:v>4993.7575176526161</c:v>
                </c:pt>
                <c:pt idx="4">
                  <c:v>5016.6855060324042</c:v>
                </c:pt>
                <c:pt idx="5">
                  <c:v>5042.4004457555266</c:v>
                </c:pt>
                <c:pt idx="6">
                  <c:v>5070.57905599681</c:v>
                </c:pt>
                <c:pt idx="7">
                  <c:v>5100.0591049464037</c:v>
                </c:pt>
                <c:pt idx="8">
                  <c:v>5129.6437877604303</c:v>
                </c:pt>
                <c:pt idx="9">
                  <c:v>5158.7152454607449</c:v>
                </c:pt>
                <c:pt idx="10">
                  <c:v>5186.6801651267742</c:v>
                </c:pt>
                <c:pt idx="11">
                  <c:v>5212.9720807799704</c:v>
                </c:pt>
                <c:pt idx="12">
                  <c:v>5237.0526864914482</c:v>
                </c:pt>
                <c:pt idx="13">
                  <c:v>5258.4129387540424</c:v>
                </c:pt>
                <c:pt idx="14">
                  <c:v>5276.573977979323</c:v>
                </c:pt>
                <c:pt idx="15">
                  <c:v>5291.0729576081358</c:v>
                </c:pt>
                <c:pt idx="16">
                  <c:v>5301.4138483573352</c:v>
                </c:pt>
                <c:pt idx="17">
                  <c:v>5307.1366110776044</c:v>
                </c:pt>
                <c:pt idx="18">
                  <c:v>5307.867939723571</c:v>
                </c:pt>
                <c:pt idx="19">
                  <c:v>5303.2679166952903</c:v>
                </c:pt>
                <c:pt idx="20">
                  <c:v>5293.03021878053</c:v>
                </c:pt>
                <c:pt idx="21">
                  <c:v>5276.8801581041553</c:v>
                </c:pt>
                <c:pt idx="22">
                  <c:v>5254.5741549668146</c:v>
                </c:pt>
                <c:pt idx="23">
                  <c:v>5225.9005160046017</c:v>
                </c:pt>
                <c:pt idx="24">
                  <c:v>5190.677975028776</c:v>
                </c:pt>
                <c:pt idx="25">
                  <c:v>5148.7545755561214</c:v>
                </c:pt>
                <c:pt idx="26">
                  <c:v>5100.0070018086471</c:v>
                </c:pt>
                <c:pt idx="27">
                  <c:v>5044.3372270872806</c:v>
                </c:pt>
                <c:pt idx="28">
                  <c:v>4981.6774622259418</c:v>
                </c:pt>
                <c:pt idx="29">
                  <c:v>4911.9859226707631</c:v>
                </c:pt>
                <c:pt idx="30">
                  <c:v>4835.2694060386302</c:v>
                </c:pt>
                <c:pt idx="31">
                  <c:v>4751.5827671167599</c:v>
                </c:pt>
                <c:pt idx="32">
                  <c:v>4660.9962794870989</c:v>
                </c:pt>
                <c:pt idx="33">
                  <c:v>4563.5830542926897</c:v>
                </c:pt>
                <c:pt idx="34">
                  <c:v>4459.4210344470775</c:v>
                </c:pt>
                <c:pt idx="35">
                  <c:v>4348.6105954910017</c:v>
                </c:pt>
                <c:pt idx="36">
                  <c:v>4231.2744359246744</c:v>
                </c:pt>
                <c:pt idx="37">
                  <c:v>4107.5578005741927</c:v>
                </c:pt>
                <c:pt idx="38">
                  <c:v>3977.6291077624974</c:v>
                </c:pt>
                <c:pt idx="39">
                  <c:v>3841.6810442442084</c:v>
                </c:pt>
                <c:pt idx="40">
                  <c:v>3699.9364716697432</c:v>
                </c:pt>
              </c:numCache>
            </c:numRef>
          </c:xVal>
          <c:yVal>
            <c:numRef>
              <c:f>'P25'!$D$2:$D$42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0.15000000000000002</c:v>
                </c:pt>
                <c:pt idx="7">
                  <c:v>0.17500000000000002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0.30000000000000004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</c:v>
                </c:pt>
                <c:pt idx="16">
                  <c:v>0.4</c:v>
                </c:pt>
                <c:pt idx="17">
                  <c:v>0.42500000000000004</c:v>
                </c:pt>
                <c:pt idx="18">
                  <c:v>0.45</c:v>
                </c:pt>
                <c:pt idx="19">
                  <c:v>0.47500000000000003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0.57500000000000007</c:v>
                </c:pt>
                <c:pt idx="24">
                  <c:v>0.60000000000000009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0.70000000000000007</c:v>
                </c:pt>
                <c:pt idx="29">
                  <c:v>0.72500000000000009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0.82500000000000007</c:v>
                </c:pt>
                <c:pt idx="34">
                  <c:v>0.85000000000000009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0.95000000000000007</c:v>
                </c:pt>
                <c:pt idx="39">
                  <c:v>0.97500000000000009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376-4515-B0D5-389FE2CF9FE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'P25'!$AF$2:$AF$42</c:f>
              <c:numCache>
                <c:formatCode>0</c:formatCode>
                <c:ptCount val="41"/>
                <c:pt idx="0">
                  <c:v>3295.0416848570453</c:v>
                </c:pt>
                <c:pt idx="1">
                  <c:v>3309.4605277615019</c:v>
                </c:pt>
                <c:pt idx="2">
                  <c:v>3327.6505460726253</c:v>
                </c:pt>
                <c:pt idx="3">
                  <c:v>3349.478898884614</c:v>
                </c:pt>
                <c:pt idx="4">
                  <c:v>3374.8124654397716</c:v>
                </c:pt>
                <c:pt idx="5">
                  <c:v>3403.5182657780283</c:v>
                </c:pt>
                <c:pt idx="6">
                  <c:v>3435.4668629451839</c:v>
                </c:pt>
                <c:pt idx="7">
                  <c:v>3470.5278655836082</c:v>
                </c:pt>
                <c:pt idx="8">
                  <c:v>3508.571634168823</c:v>
                </c:pt>
                <c:pt idx="9">
                  <c:v>3549.4749638409744</c:v>
                </c:pt>
                <c:pt idx="10">
                  <c:v>3593.1184948552136</c:v>
                </c:pt>
                <c:pt idx="11">
                  <c:v>3639.3872905519247</c:v>
                </c:pt>
                <c:pt idx="12">
                  <c:v>3688.1712939757249</c:v>
                </c:pt>
                <c:pt idx="13">
                  <c:v>3739.3657568458634</c:v>
                </c:pt>
                <c:pt idx="14">
                  <c:v>3792.8717500196972</c:v>
                </c:pt>
                <c:pt idx="15">
                  <c:v>3848.5947904699151</c:v>
                </c:pt>
                <c:pt idx="16">
                  <c:v>3906.438953885242</c:v>
                </c:pt>
                <c:pt idx="17">
                  <c:v>3963.9456993959607</c:v>
                </c:pt>
                <c:pt idx="18">
                  <c:v>4017.7751952568046</c:v>
                </c:pt>
                <c:pt idx="19">
                  <c:v>4066.7452353979393</c:v>
                </c:pt>
                <c:pt idx="20">
                  <c:v>4110.3788789285481</c:v>
                </c:pt>
                <c:pt idx="21">
                  <c:v>4148.2479691311109</c:v>
                </c:pt>
                <c:pt idx="22">
                  <c:v>4179.9712402220739</c:v>
                </c:pt>
                <c:pt idx="23">
                  <c:v>4205.1220810601935</c:v>
                </c:pt>
                <c:pt idx="24">
                  <c:v>4223.2812476303434</c:v>
                </c:pt>
                <c:pt idx="25">
                  <c:v>4234.1680577198504</c:v>
                </c:pt>
                <c:pt idx="26">
                  <c:v>4237.5861899644406</c:v>
                </c:pt>
                <c:pt idx="27">
                  <c:v>4233.3813171747297</c:v>
                </c:pt>
                <c:pt idx="28">
                  <c:v>4221.4454705293929</c:v>
                </c:pt>
                <c:pt idx="29">
                  <c:v>4201.711313909349</c:v>
                </c:pt>
                <c:pt idx="30">
                  <c:v>4174.1748394935848</c:v>
                </c:pt>
                <c:pt idx="31">
                  <c:v>4138.8962733117378</c:v>
                </c:pt>
                <c:pt idx="32">
                  <c:v>4095.9652663169445</c:v>
                </c:pt>
                <c:pt idx="33">
                  <c:v>4045.4866256901232</c:v>
                </c:pt>
                <c:pt idx="34">
                  <c:v>3987.582531590142</c:v>
                </c:pt>
                <c:pt idx="35">
                  <c:v>3922.4097958157622</c:v>
                </c:pt>
                <c:pt idx="36">
                  <c:v>3850.1594368802107</c:v>
                </c:pt>
                <c:pt idx="37">
                  <c:v>3771.0562547920244</c:v>
                </c:pt>
                <c:pt idx="38">
                  <c:v>3685.3590242247847</c:v>
                </c:pt>
                <c:pt idx="39">
                  <c:v>3593.3612649664387</c:v>
                </c:pt>
                <c:pt idx="40">
                  <c:v>3495.4215567897127</c:v>
                </c:pt>
              </c:numCache>
            </c:numRef>
          </c:xVal>
          <c:yVal>
            <c:numRef>
              <c:f>'P25'!$D$2:$D$42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0.15000000000000002</c:v>
                </c:pt>
                <c:pt idx="7">
                  <c:v>0.17500000000000002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0.30000000000000004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</c:v>
                </c:pt>
                <c:pt idx="16">
                  <c:v>0.4</c:v>
                </c:pt>
                <c:pt idx="17">
                  <c:v>0.42500000000000004</c:v>
                </c:pt>
                <c:pt idx="18">
                  <c:v>0.45</c:v>
                </c:pt>
                <c:pt idx="19">
                  <c:v>0.47500000000000003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0.57500000000000007</c:v>
                </c:pt>
                <c:pt idx="24">
                  <c:v>0.60000000000000009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0.70000000000000007</c:v>
                </c:pt>
                <c:pt idx="29">
                  <c:v>0.72500000000000009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0.82500000000000007</c:v>
                </c:pt>
                <c:pt idx="34">
                  <c:v>0.85000000000000009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0.95000000000000007</c:v>
                </c:pt>
                <c:pt idx="39">
                  <c:v>0.97500000000000009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376-4515-B0D5-389FE2CF9FE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'P25'!$AG$2:$AG$42</c:f>
              <c:numCache>
                <c:formatCode>0</c:formatCode>
                <c:ptCount val="41"/>
                <c:pt idx="0">
                  <c:v>1647.5208424285227</c:v>
                </c:pt>
                <c:pt idx="1">
                  <c:v>1662.3757467844293</c:v>
                </c:pt>
                <c:pt idx="2">
                  <c:v>1681.8517927142582</c:v>
                </c:pt>
                <c:pt idx="3">
                  <c:v>1705.7717958278997</c:v>
                </c:pt>
                <c:pt idx="4">
                  <c:v>1733.9580316307704</c:v>
                </c:pt>
                <c:pt idx="5">
                  <c:v>1766.2310194570293</c:v>
                </c:pt>
                <c:pt idx="6">
                  <c:v>1802.413525241931</c:v>
                </c:pt>
                <c:pt idx="7">
                  <c:v>1842.3273504622421</c:v>
                </c:pt>
                <c:pt idx="8">
                  <c:v>1885.7954929556222</c:v>
                </c:pt>
                <c:pt idx="9">
                  <c:v>1932.6486737044818</c:v>
                </c:pt>
                <c:pt idx="10">
                  <c:v>1982.7217713568311</c:v>
                </c:pt>
                <c:pt idx="11">
                  <c:v>2035.8540718295073</c:v>
                </c:pt>
                <c:pt idx="12">
                  <c:v>2091.8900350542867</c:v>
                </c:pt>
                <c:pt idx="13">
                  <c:v>2150.6797269520939</c:v>
                </c:pt>
                <c:pt idx="14">
                  <c:v>2212.0793398351416</c:v>
                </c:pt>
                <c:pt idx="15">
                  <c:v>2275.9498921244895</c:v>
                </c:pt>
                <c:pt idx="16">
                  <c:v>2342.1513840393031</c:v>
                </c:pt>
                <c:pt idx="17">
                  <c:v>2410.562057514901</c:v>
                </c:pt>
                <c:pt idx="18">
                  <c:v>2481.0783690441331</c:v>
                </c:pt>
                <c:pt idx="19">
                  <c:v>2553.5960376921021</c:v>
                </c:pt>
                <c:pt idx="20">
                  <c:v>2628.0174351368605</c:v>
                </c:pt>
                <c:pt idx="21">
                  <c:v>2704.2541880926692</c:v>
                </c:pt>
                <c:pt idx="22">
                  <c:v>2782.2274744387605</c:v>
                </c:pt>
                <c:pt idx="23">
                  <c:v>2861.8549239239064</c:v>
                </c:pt>
                <c:pt idx="24">
                  <c:v>2943.0572186987383</c:v>
                </c:pt>
                <c:pt idx="25">
                  <c:v>3021.827997283734</c:v>
                </c:pt>
                <c:pt idx="26">
                  <c:v>3093.3528538711384</c:v>
                </c:pt>
                <c:pt idx="27">
                  <c:v>3156.6802890959643</c:v>
                </c:pt>
                <c:pt idx="28">
                  <c:v>3211.6266588822118</c:v>
                </c:pt>
                <c:pt idx="29">
                  <c:v>3258.0660820456483</c:v>
                </c:pt>
                <c:pt idx="30">
                  <c:v>3295.9013934603531</c:v>
                </c:pt>
                <c:pt idx="31">
                  <c:v>3325.0360958238157</c:v>
                </c:pt>
                <c:pt idx="32">
                  <c:v>3345.4898399881281</c:v>
                </c:pt>
                <c:pt idx="33">
                  <c:v>3357.4130617476053</c:v>
                </c:pt>
                <c:pt idx="34">
                  <c:v>3360.9902833597657</c:v>
                </c:pt>
                <c:pt idx="35">
                  <c:v>3356.4565124690212</c:v>
                </c:pt>
                <c:pt idx="36">
                  <c:v>3344.0967266475936</c:v>
                </c:pt>
                <c:pt idx="37">
                  <c:v>3324.2447648532625</c:v>
                </c:pt>
                <c:pt idx="38">
                  <c:v>3297.2822991442677</c:v>
                </c:pt>
                <c:pt idx="39">
                  <c:v>3263.6392054246398</c:v>
                </c:pt>
                <c:pt idx="40">
                  <c:v>3223.8568318356151</c:v>
                </c:pt>
              </c:numCache>
            </c:numRef>
          </c:xVal>
          <c:yVal>
            <c:numRef>
              <c:f>'P25'!$D$2:$D$42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0.15000000000000002</c:v>
                </c:pt>
                <c:pt idx="7">
                  <c:v>0.17500000000000002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0.30000000000000004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</c:v>
                </c:pt>
                <c:pt idx="16">
                  <c:v>0.4</c:v>
                </c:pt>
                <c:pt idx="17">
                  <c:v>0.42500000000000004</c:v>
                </c:pt>
                <c:pt idx="18">
                  <c:v>0.45</c:v>
                </c:pt>
                <c:pt idx="19">
                  <c:v>0.47500000000000003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0.57500000000000007</c:v>
                </c:pt>
                <c:pt idx="24">
                  <c:v>0.60000000000000009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0.70000000000000007</c:v>
                </c:pt>
                <c:pt idx="29">
                  <c:v>0.72500000000000009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0.82500000000000007</c:v>
                </c:pt>
                <c:pt idx="34">
                  <c:v>0.85000000000000009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0.95000000000000007</c:v>
                </c:pt>
                <c:pt idx="39">
                  <c:v>0.97500000000000009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376-4515-B0D5-389FE2CF9FE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'P25'!$AH$2:$AH$42</c:f>
              <c:numCache>
                <c:formatCode>0</c:formatCode>
                <c:ptCount val="41"/>
                <c:pt idx="0">
                  <c:v>0</c:v>
                </c:pt>
                <c:pt idx="1">
                  <c:v>15.3605452905991</c:v>
                </c:pt>
                <c:pt idx="2">
                  <c:v>36.329855294198538</c:v>
                </c:pt>
                <c:pt idx="3">
                  <c:v>62.684712782238321</c:v>
                </c:pt>
                <c:pt idx="4">
                  <c:v>94.203206886548855</c:v>
                </c:pt>
                <c:pt idx="5">
                  <c:v>130.66171822657137</c:v>
                </c:pt>
                <c:pt idx="6">
                  <c:v>171.83642488059306</c:v>
                </c:pt>
                <c:pt idx="7">
                  <c:v>217.50206780076229</c:v>
                </c:pt>
                <c:pt idx="8">
                  <c:v>267.43631928478538</c:v>
                </c:pt>
                <c:pt idx="9">
                  <c:v>321.42318915047565</c:v>
                </c:pt>
                <c:pt idx="10">
                  <c:v>379.25022187674938</c:v>
                </c:pt>
                <c:pt idx="11">
                  <c:v>440.71092480194795</c:v>
                </c:pt>
                <c:pt idx="12">
                  <c:v>505.60489113603677</c:v>
                </c:pt>
                <c:pt idx="13">
                  <c:v>573.73772856671019</c:v>
                </c:pt>
                <c:pt idx="14">
                  <c:v>644.92136276832673</c:v>
                </c:pt>
                <c:pt idx="15">
                  <c:v>718.9730030605831</c:v>
                </c:pt>
                <c:pt idx="16">
                  <c:v>795.70933934900222</c:v>
                </c:pt>
                <c:pt idx="17">
                  <c:v>874.96577312580825</c:v>
                </c:pt>
                <c:pt idx="18">
                  <c:v>956.59644125970055</c:v>
                </c:pt>
                <c:pt idx="19">
                  <c:v>1040.4552414250213</c:v>
                </c:pt>
                <c:pt idx="20">
                  <c:v>1126.4032408084054</c:v>
                </c:pt>
                <c:pt idx="21">
                  <c:v>1214.3113403125215</c:v>
                </c:pt>
                <c:pt idx="22">
                  <c:v>1304.0605395716982</c:v>
                </c:pt>
                <c:pt idx="23">
                  <c:v>1395.5288148787888</c:v>
                </c:pt>
                <c:pt idx="24">
                  <c:v>1488.5977863093665</c:v>
                </c:pt>
                <c:pt idx="25">
                  <c:v>1583.2039678006722</c:v>
                </c:pt>
                <c:pt idx="26">
                  <c:v>1679.2981431313581</c:v>
                </c:pt>
                <c:pt idx="27">
                  <c:v>1776.812585834422</c:v>
                </c:pt>
                <c:pt idx="28">
                  <c:v>1875.6968164629664</c:v>
                </c:pt>
                <c:pt idx="29">
                  <c:v>1975.9131100632085</c:v>
                </c:pt>
                <c:pt idx="30">
                  <c:v>2077.4334553982972</c:v>
                </c:pt>
                <c:pt idx="31">
                  <c:v>2180.2366564004642</c:v>
                </c:pt>
                <c:pt idx="32">
                  <c:v>2283.8393299156314</c:v>
                </c:pt>
                <c:pt idx="33">
                  <c:v>2382.9127748110604</c:v>
                </c:pt>
                <c:pt idx="34">
                  <c:v>2472.7259311524808</c:v>
                </c:pt>
                <c:pt idx="35">
                  <c:v>2553.562754009175</c:v>
                </c:pt>
                <c:pt idx="36">
                  <c:v>2625.7800855629166</c:v>
                </c:pt>
                <c:pt idx="37">
                  <c:v>2689.8052389476261</c:v>
                </c:pt>
                <c:pt idx="38">
                  <c:v>2746.1339049032395</c:v>
                </c:pt>
                <c:pt idx="39">
                  <c:v>2795.329809530424</c:v>
                </c:pt>
                <c:pt idx="40">
                  <c:v>2838.1377234641977</c:v>
                </c:pt>
              </c:numCache>
            </c:numRef>
          </c:xVal>
          <c:yVal>
            <c:numRef>
              <c:f>'P25'!$D$2:$D$42</c:f>
              <c:numCache>
                <c:formatCode>0.00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0.15000000000000002</c:v>
                </c:pt>
                <c:pt idx="7">
                  <c:v>0.17500000000000002</c:v>
                </c:pt>
                <c:pt idx="8">
                  <c:v>0.2</c:v>
                </c:pt>
                <c:pt idx="9">
                  <c:v>0.22500000000000001</c:v>
                </c:pt>
                <c:pt idx="10">
                  <c:v>0.25</c:v>
                </c:pt>
                <c:pt idx="11">
                  <c:v>0.27500000000000002</c:v>
                </c:pt>
                <c:pt idx="12">
                  <c:v>0.30000000000000004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</c:v>
                </c:pt>
                <c:pt idx="16">
                  <c:v>0.4</c:v>
                </c:pt>
                <c:pt idx="17">
                  <c:v>0.42500000000000004</c:v>
                </c:pt>
                <c:pt idx="18">
                  <c:v>0.45</c:v>
                </c:pt>
                <c:pt idx="19">
                  <c:v>0.47500000000000003</c:v>
                </c:pt>
                <c:pt idx="20">
                  <c:v>0.5</c:v>
                </c:pt>
                <c:pt idx="21">
                  <c:v>0.52500000000000002</c:v>
                </c:pt>
                <c:pt idx="22">
                  <c:v>0.55000000000000004</c:v>
                </c:pt>
                <c:pt idx="23">
                  <c:v>0.57500000000000007</c:v>
                </c:pt>
                <c:pt idx="24">
                  <c:v>0.60000000000000009</c:v>
                </c:pt>
                <c:pt idx="25">
                  <c:v>0.625</c:v>
                </c:pt>
                <c:pt idx="26">
                  <c:v>0.65</c:v>
                </c:pt>
                <c:pt idx="27">
                  <c:v>0.67500000000000004</c:v>
                </c:pt>
                <c:pt idx="28">
                  <c:v>0.70000000000000007</c:v>
                </c:pt>
                <c:pt idx="29">
                  <c:v>0.72500000000000009</c:v>
                </c:pt>
                <c:pt idx="30">
                  <c:v>0.75</c:v>
                </c:pt>
                <c:pt idx="31">
                  <c:v>0.77500000000000002</c:v>
                </c:pt>
                <c:pt idx="32">
                  <c:v>0.8</c:v>
                </c:pt>
                <c:pt idx="33">
                  <c:v>0.82500000000000007</c:v>
                </c:pt>
                <c:pt idx="34">
                  <c:v>0.85000000000000009</c:v>
                </c:pt>
                <c:pt idx="35">
                  <c:v>0.875</c:v>
                </c:pt>
                <c:pt idx="36">
                  <c:v>0.9</c:v>
                </c:pt>
                <c:pt idx="37">
                  <c:v>0.92500000000000004</c:v>
                </c:pt>
                <c:pt idx="38">
                  <c:v>0.95000000000000007</c:v>
                </c:pt>
                <c:pt idx="39">
                  <c:v>0.97500000000000009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C376-4515-B0D5-389FE2CF9FE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20-C376-4515-B0D5-389FE2CF9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934344"/>
        <c:axId val="525932704"/>
      </c:scatterChart>
      <c:valAx>
        <c:axId val="525934344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Axial Stress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32704"/>
        <c:crosses val="autoZero"/>
        <c:crossBetween val="midCat"/>
      </c:valAx>
      <c:valAx>
        <c:axId val="525932704"/>
        <c:scaling>
          <c:orientation val="maxMin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Normalized Depth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34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107950</xdr:rowOff>
        </xdr:from>
        <xdr:to>
          <xdr:col>2</xdr:col>
          <xdr:colOff>31750</xdr:colOff>
          <xdr:row>27</xdr:row>
          <xdr:rowOff>69850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Settlement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171450</xdr:rowOff>
        </xdr:from>
        <xdr:to>
          <xdr:col>2</xdr:col>
          <xdr:colOff>31750</xdr:colOff>
          <xdr:row>31</xdr:row>
          <xdr:rowOff>133350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68035</xdr:colOff>
      <xdr:row>12</xdr:row>
      <xdr:rowOff>101211</xdr:rowOff>
    </xdr:from>
    <xdr:to>
      <xdr:col>28</xdr:col>
      <xdr:colOff>27213</xdr:colOff>
      <xdr:row>25</xdr:row>
      <xdr:rowOff>124919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312950</xdr:colOff>
      <xdr:row>26</xdr:row>
      <xdr:rowOff>54429</xdr:rowOff>
    </xdr:from>
    <xdr:to>
      <xdr:col>27</xdr:col>
      <xdr:colOff>408214</xdr:colOff>
      <xdr:row>40</xdr:row>
      <xdr:rowOff>179348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>
    <pageSetUpPr fitToPage="1"/>
  </sheetPr>
  <dimension ref="A1:AU44"/>
  <sheetViews>
    <sheetView tabSelected="1" zoomScale="70" zoomScaleNormal="70" zoomScaleSheetLayoutView="70" workbookViewId="0"/>
  </sheetViews>
  <sheetFormatPr defaultColWidth="9.1796875" defaultRowHeight="14.5" x14ac:dyDescent="0.35"/>
  <cols>
    <col min="1" max="1" width="12.54296875" style="28" bestFit="1" customWidth="1"/>
    <col min="2" max="2" width="7.26953125" style="28" bestFit="1" customWidth="1"/>
    <col min="3" max="3" width="2.7265625" style="2" customWidth="1"/>
    <col min="4" max="4" width="5.7265625" style="4" bestFit="1" customWidth="1"/>
    <col min="5" max="5" width="7.7265625" style="4" bestFit="1" customWidth="1"/>
    <col min="6" max="9" width="5.7265625" style="4" bestFit="1" customWidth="1"/>
    <col min="10" max="10" width="6.26953125" style="4" bestFit="1" customWidth="1"/>
    <col min="11" max="11" width="7.81640625" style="4" bestFit="1" customWidth="1"/>
    <col min="12" max="12" width="5.7265625" style="4" bestFit="1" customWidth="1"/>
    <col min="13" max="13" width="8.26953125" style="4" bestFit="1" customWidth="1"/>
    <col min="14" max="14" width="8.54296875" style="4" bestFit="1" customWidth="1"/>
    <col min="15" max="15" width="8.7265625" style="4" customWidth="1"/>
    <col min="16" max="16" width="7.453125" style="4" bestFit="1" customWidth="1"/>
    <col min="17" max="17" width="9.453125" style="4" bestFit="1" customWidth="1"/>
    <col min="18" max="18" width="9.7265625" style="1" bestFit="1" customWidth="1"/>
    <col min="19" max="19" width="3.7265625" style="5" customWidth="1"/>
    <col min="20" max="20" width="7.26953125" style="10" bestFit="1" customWidth="1"/>
    <col min="21" max="21" width="9.7265625" style="9" bestFit="1" customWidth="1"/>
    <col min="22" max="22" width="8.54296875" style="3" bestFit="1" customWidth="1"/>
    <col min="23" max="23" width="5" style="9" bestFit="1" customWidth="1"/>
    <col min="24" max="24" width="5.1796875" style="9" bestFit="1" customWidth="1"/>
    <col min="25" max="25" width="5.81640625" style="9" bestFit="1" customWidth="1"/>
    <col min="26" max="33" width="6.26953125" style="9" bestFit="1" customWidth="1"/>
    <col min="34" max="34" width="6.26953125" style="9" customWidth="1"/>
    <col min="35" max="47" width="9.1796875" style="10"/>
    <col min="48" max="16384" width="9.1796875" style="5"/>
  </cols>
  <sheetData>
    <row r="1" spans="1:47" s="1" customFormat="1" x14ac:dyDescent="0.35">
      <c r="A1" s="20" t="s">
        <v>7</v>
      </c>
      <c r="B1" s="29">
        <v>0</v>
      </c>
      <c r="C1" s="37"/>
      <c r="D1" s="6" t="s">
        <v>0</v>
      </c>
      <c r="E1" s="6" t="s">
        <v>34</v>
      </c>
      <c r="F1" s="15" t="s">
        <v>26</v>
      </c>
      <c r="G1" s="15" t="s">
        <v>17</v>
      </c>
      <c r="H1" s="15" t="s">
        <v>25</v>
      </c>
      <c r="I1" s="15" t="s">
        <v>27</v>
      </c>
      <c r="J1" s="15" t="s">
        <v>29</v>
      </c>
      <c r="K1" s="17" t="s">
        <v>18</v>
      </c>
      <c r="L1" s="17" t="s">
        <v>19</v>
      </c>
      <c r="M1" s="7" t="s">
        <v>13</v>
      </c>
      <c r="N1" s="3" t="s">
        <v>12</v>
      </c>
      <c r="O1" s="3" t="s">
        <v>11</v>
      </c>
      <c r="P1" s="8" t="s">
        <v>6</v>
      </c>
      <c r="Q1" s="8" t="s">
        <v>16</v>
      </c>
      <c r="R1" s="14" t="s">
        <v>15</v>
      </c>
      <c r="S1" s="13"/>
      <c r="T1" s="9" t="s">
        <v>24</v>
      </c>
      <c r="U1" s="9" t="s">
        <v>15</v>
      </c>
      <c r="V1" s="3" t="s">
        <v>12</v>
      </c>
      <c r="W1" s="9"/>
      <c r="X1" s="9">
        <v>0</v>
      </c>
      <c r="Y1" s="9">
        <v>20</v>
      </c>
      <c r="Z1" s="9">
        <v>40</v>
      </c>
      <c r="AA1" s="9">
        <v>60</v>
      </c>
      <c r="AB1" s="9">
        <v>80</v>
      </c>
      <c r="AC1" s="9">
        <v>99</v>
      </c>
      <c r="AD1" s="9">
        <v>80</v>
      </c>
      <c r="AE1" s="9">
        <v>60</v>
      </c>
      <c r="AF1" s="9">
        <v>40</v>
      </c>
      <c r="AG1" s="9">
        <v>20</v>
      </c>
      <c r="AH1" s="9">
        <v>0</v>
      </c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</row>
    <row r="2" spans="1:47" s="1" customFormat="1" x14ac:dyDescent="0.35">
      <c r="A2" s="21"/>
      <c r="B2" s="21"/>
      <c r="C2" s="37"/>
      <c r="D2" s="6">
        <v>0</v>
      </c>
      <c r="E2" s="6">
        <f>D2*$B$5*20*0.288675131628341</f>
        <v>0</v>
      </c>
      <c r="F2" s="15">
        <v>0.2</v>
      </c>
      <c r="G2" s="16">
        <v>0.5</v>
      </c>
      <c r="H2" s="15">
        <v>0.05</v>
      </c>
      <c r="I2" s="15">
        <v>0.4</v>
      </c>
      <c r="J2" s="15">
        <v>1</v>
      </c>
      <c r="K2" s="17">
        <v>-93.234449770474413</v>
      </c>
      <c r="L2" s="17">
        <v>0.99938597272841601</v>
      </c>
      <c r="M2" s="7">
        <v>0</v>
      </c>
      <c r="N2" s="3">
        <f t="shared" ref="N2:N40" ca="1" si="0">IF($B$9=0,N3,N3+(1000*((R2+R3)*$D$3*$B$5/(2*$B$9))))</f>
        <v>93.234451639963382</v>
      </c>
      <c r="O2" s="3">
        <f ca="1">M2-N2</f>
        <v>-93.234451639963382</v>
      </c>
      <c r="P2" s="8">
        <f ca="1">IF(K2=O2,L2,IF(O2&gt;K2,MIN(1,IF(L2&gt;=G2,L2+(O2-K2)*H2,IF(L2+(O2-K2)*IF(J2=1,F2,I2)&gt;G2,G2+(O2-K2-(G2-L2)/IF(J2=1,F2,I2))*H2,L2+(O2-K2)*IF(J2=1,F2,I2)))),MAX(-1,IF(L2&lt;=-G2,L2+(O2-K2)*H2,IF(L2+(O2-K2)*IF(J2=1,F2,I2)&lt;-G2,-G2+(O2-K2-(-G2-L2)/IF(J2=1,F2,I2))*H2,L2+(O2-K2)*IF(J2=1,F2,I2))))))</f>
        <v>0.99938559883062217</v>
      </c>
      <c r="Q2" s="8">
        <f t="shared" ref="Q2:Q42" ca="1" si="1">P2*E2</f>
        <v>0</v>
      </c>
      <c r="R2" s="14">
        <f>IF($B$1&gt;0,$B$1*$B$14/(100*$B$6),$B$1*$B$15/(100*$B$6))</f>
        <v>0</v>
      </c>
      <c r="S2" s="13"/>
      <c r="T2" s="9">
        <v>0</v>
      </c>
      <c r="U2" s="9">
        <v>0</v>
      </c>
      <c r="V2" s="3">
        <v>0.36494550366167955</v>
      </c>
      <c r="W2" s="9"/>
      <c r="X2" s="9">
        <v>0</v>
      </c>
      <c r="Y2" s="9">
        <v>1647.5208424285227</v>
      </c>
      <c r="Z2" s="9">
        <v>3295.0416848570453</v>
      </c>
      <c r="AA2" s="9">
        <v>4942.5625272855677</v>
      </c>
      <c r="AB2" s="9">
        <v>6590.0833697140906</v>
      </c>
      <c r="AC2" s="9">
        <v>8155.228170021187</v>
      </c>
      <c r="AD2" s="9">
        <v>6590.0833697140906</v>
      </c>
      <c r="AE2" s="9">
        <v>4942.5625272855677</v>
      </c>
      <c r="AF2" s="9">
        <v>3295.0416848570453</v>
      </c>
      <c r="AG2" s="9">
        <v>1647.5208424285227</v>
      </c>
      <c r="AH2" s="9">
        <v>0</v>
      </c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</row>
    <row r="3" spans="1:47" s="1" customFormat="1" x14ac:dyDescent="0.35">
      <c r="A3" s="20" t="s">
        <v>10</v>
      </c>
      <c r="B3" s="30">
        <v>40</v>
      </c>
      <c r="C3" s="37"/>
      <c r="D3" s="6">
        <v>2.5000000000000001E-2</v>
      </c>
      <c r="E3" s="6">
        <f t="shared" ref="E3:E42" si="2">D3*$B$5*20*0.288675131628341</f>
        <v>2.8867513162834104</v>
      </c>
      <c r="F3" s="15">
        <v>0.2</v>
      </c>
      <c r="G3" s="16">
        <v>0.5</v>
      </c>
      <c r="H3" s="15">
        <v>0.05</v>
      </c>
      <c r="I3" s="15">
        <v>0.4</v>
      </c>
      <c r="J3" s="15">
        <v>1</v>
      </c>
      <c r="K3" s="17">
        <v>-93.234065698101148</v>
      </c>
      <c r="L3" s="17">
        <v>0.99092191783718286</v>
      </c>
      <c r="M3" s="7">
        <v>0</v>
      </c>
      <c r="N3" s="3">
        <f t="shared" ca="1" si="0"/>
        <v>93.234067623194136</v>
      </c>
      <c r="O3" s="3">
        <f t="shared" ref="O3:O41" ca="1" si="3">M3-N3</f>
        <v>-93.234067623194136</v>
      </c>
      <c r="P3" s="8">
        <f t="shared" ref="P3:P42" ca="1" si="4">IF(K3=O3,L3,IF(O3&gt;K3,MIN(1,IF(L3&gt;=G3,L3+(O3-K3)*H3,IF(L3+(O3-K3)*IF(J3=1,F3,I3)&gt;G3,G3+(O3-K3-(G3-L3)/IF(J3=1,F3,I3))*H3,L3+(O3-K3)*IF(J3=1,F3,I3)))),MAX(-1,IF(L3&lt;=-G3,L3+(O3-K3)*H3,IF(L3+(O3-K3)*IF(J3=1,F3,I3)&lt;-G3,-G3+(O3-K3-(-G3-L3)/IF(J3=1,F3,I3))*H3,L3+(O3-K3)*IF(J3=1,F3,I3))))))</f>
        <v>0.99092153281858519</v>
      </c>
      <c r="Q3" s="8">
        <f t="shared" ca="1" si="1"/>
        <v>2.8605440391976256</v>
      </c>
      <c r="R3" s="14">
        <f ca="1">R2+($B$8*$D$3*$B$5)+($B$7*$D$3*$B$5*(Q2+Q3)/(2*$B$6))</f>
        <v>15.360544039197626</v>
      </c>
      <c r="S3" s="13"/>
      <c r="T3" s="9">
        <v>20</v>
      </c>
      <c r="U3" s="9">
        <v>1647.5208424285227</v>
      </c>
      <c r="V3" s="3">
        <v>3.3260802601874091</v>
      </c>
      <c r="W3" s="9"/>
      <c r="X3" s="9">
        <v>12.289085172729697</v>
      </c>
      <c r="Y3" s="9">
        <v>1658.4698447079534</v>
      </c>
      <c r="Z3" s="9">
        <v>3305.4176207938272</v>
      </c>
      <c r="AA3" s="9">
        <v>4952.1763866781057</v>
      </c>
      <c r="AB3" s="9">
        <v>6599.6966183978075</v>
      </c>
      <c r="AC3" s="9">
        <v>8164.8414187049038</v>
      </c>
      <c r="AD3" s="9">
        <v>6602.2062678679122</v>
      </c>
      <c r="AE3" s="9">
        <v>4956.6086339833982</v>
      </c>
      <c r="AF3" s="9">
        <v>3309.4605277615019</v>
      </c>
      <c r="AG3" s="9">
        <v>1662.3757467844293</v>
      </c>
      <c r="AH3" s="9">
        <v>15.3605452905991</v>
      </c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1:47" s="1" customFormat="1" x14ac:dyDescent="0.35">
      <c r="A4" s="20"/>
      <c r="B4" s="20"/>
      <c r="C4" s="37"/>
      <c r="D4" s="6">
        <v>0.05</v>
      </c>
      <c r="E4" s="6">
        <f t="shared" si="2"/>
        <v>5.7735026325668208</v>
      </c>
      <c r="F4" s="15">
        <v>0.2</v>
      </c>
      <c r="G4" s="16">
        <v>0.5</v>
      </c>
      <c r="H4" s="15">
        <v>0.05</v>
      </c>
      <c r="I4" s="15">
        <v>0.4</v>
      </c>
      <c r="J4" s="15">
        <v>1</v>
      </c>
      <c r="K4" s="17">
        <v>-93.23277613820116</v>
      </c>
      <c r="L4" s="17">
        <v>0.97146636900914274</v>
      </c>
      <c r="M4" s="7">
        <v>0</v>
      </c>
      <c r="N4" s="3">
        <f t="shared" ca="1" si="0"/>
        <v>93.232775360694134</v>
      </c>
      <c r="O4" s="3">
        <f t="shared" ca="1" si="3"/>
        <v>-93.232775360694134</v>
      </c>
      <c r="P4" s="8">
        <f t="shared" ca="1" si="4"/>
        <v>0.97146640788449401</v>
      </c>
      <c r="Q4" s="8">
        <f t="shared" ca="1" si="1"/>
        <v>5.608763863371359</v>
      </c>
      <c r="R4" s="14">
        <f t="shared" ref="R4:R40" ca="1" si="5">R3+($B$8*$D$3*$B$5)+($B$7*$D$3*$B$5*(Q3+Q4)/(2*$B$6))</f>
        <v>36.329851941766613</v>
      </c>
      <c r="S4" s="13"/>
      <c r="T4" s="9">
        <v>40</v>
      </c>
      <c r="U4" s="9">
        <v>3295.0416848570453</v>
      </c>
      <c r="V4" s="3">
        <v>7.3776808574886878</v>
      </c>
      <c r="W4" s="9"/>
      <c r="X4" s="9">
        <v>24.156546970214311</v>
      </c>
      <c r="Y4" s="9">
        <v>1666.3402418528271</v>
      </c>
      <c r="Z4" s="9">
        <v>3311.5919846389547</v>
      </c>
      <c r="AA4" s="9">
        <v>4956.0179318809178</v>
      </c>
      <c r="AB4" s="9">
        <v>6603.5363644489571</v>
      </c>
      <c r="AC4" s="9">
        <v>8168.6811647560535</v>
      </c>
      <c r="AD4" s="9">
        <v>6613.4064157528637</v>
      </c>
      <c r="AE4" s="9">
        <v>4973.7028842465625</v>
      </c>
      <c r="AF4" s="9">
        <v>3327.6505460726253</v>
      </c>
      <c r="AG4" s="9">
        <v>1681.8517927142582</v>
      </c>
      <c r="AH4" s="9">
        <v>36.329855294198538</v>
      </c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</row>
    <row r="5" spans="1:47" s="1" customFormat="1" x14ac:dyDescent="0.35">
      <c r="A5" s="20" t="s">
        <v>1</v>
      </c>
      <c r="B5" s="30">
        <v>20</v>
      </c>
      <c r="C5" s="37"/>
      <c r="D5" s="6">
        <v>7.5000000000000011E-2</v>
      </c>
      <c r="E5" s="6">
        <f t="shared" si="2"/>
        <v>8.6602539488502313</v>
      </c>
      <c r="F5" s="15">
        <v>0.2</v>
      </c>
      <c r="G5" s="16">
        <v>0.5</v>
      </c>
      <c r="H5" s="15">
        <v>0.05</v>
      </c>
      <c r="I5" s="15">
        <v>0.4</v>
      </c>
      <c r="J5" s="15">
        <v>1</v>
      </c>
      <c r="K5" s="17">
        <v>-93.230304342358153</v>
      </c>
      <c r="L5" s="17">
        <v>0.95217638358886703</v>
      </c>
      <c r="M5" s="7">
        <v>0</v>
      </c>
      <c r="N5" s="3">
        <f t="shared" ca="1" si="0"/>
        <v>93.23029999462284</v>
      </c>
      <c r="O5" s="3">
        <f t="shared" ca="1" si="3"/>
        <v>-93.23029999462284</v>
      </c>
      <c r="P5" s="8">
        <f t="shared" ca="1" si="4"/>
        <v>0.95217660097563273</v>
      </c>
      <c r="Q5" s="8">
        <f t="shared" ca="1" si="1"/>
        <v>8.246091168602014</v>
      </c>
      <c r="R5" s="14">
        <f t="shared" ca="1" si="5"/>
        <v>62.684706973739985</v>
      </c>
      <c r="S5" s="13"/>
      <c r="T5" s="9">
        <v>60</v>
      </c>
      <c r="U5" s="9">
        <v>4942.5625272855677</v>
      </c>
      <c r="V5" s="3">
        <v>14.057048110729481</v>
      </c>
      <c r="W5" s="9"/>
      <c r="X5" s="9">
        <v>35.604202293459338</v>
      </c>
      <c r="Y5" s="9">
        <v>1671.1792335948489</v>
      </c>
      <c r="Z5" s="9">
        <v>3313.658205233176</v>
      </c>
      <c r="AA5" s="9">
        <v>4954.0870929688754</v>
      </c>
      <c r="AB5" s="9">
        <v>6601.6026078675404</v>
      </c>
      <c r="AC5" s="9">
        <v>8166.7474081746368</v>
      </c>
      <c r="AD5" s="9">
        <v>6623.3481023433951</v>
      </c>
      <c r="AE5" s="9">
        <v>4993.7575176526161</v>
      </c>
      <c r="AF5" s="9">
        <v>3349.478898884614</v>
      </c>
      <c r="AG5" s="9">
        <v>1705.7717958278997</v>
      </c>
      <c r="AH5" s="9">
        <v>62.684712782238321</v>
      </c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1:47" s="1" customFormat="1" x14ac:dyDescent="0.35">
      <c r="A6" s="20" t="s">
        <v>5</v>
      </c>
      <c r="B6" s="31">
        <f>PI()*1*1/4</f>
        <v>0.78539816339744828</v>
      </c>
      <c r="C6" s="37"/>
      <c r="D6" s="6">
        <v>0.1</v>
      </c>
      <c r="E6" s="6">
        <f t="shared" si="2"/>
        <v>11.547005265133642</v>
      </c>
      <c r="F6" s="15">
        <v>0.2</v>
      </c>
      <c r="G6" s="16">
        <v>0.5</v>
      </c>
      <c r="H6" s="15">
        <v>0.05</v>
      </c>
      <c r="I6" s="15">
        <v>0.4</v>
      </c>
      <c r="J6" s="15">
        <v>1</v>
      </c>
      <c r="K6" s="17">
        <v>-93.226386042825467</v>
      </c>
      <c r="L6" s="17">
        <v>0.9329167655237478</v>
      </c>
      <c r="M6" s="7">
        <v>0</v>
      </c>
      <c r="N6" s="3">
        <f t="shared" ca="1" si="0"/>
        <v>93.22637779534513</v>
      </c>
      <c r="O6" s="3">
        <f t="shared" ca="1" si="3"/>
        <v>-93.22637779534513</v>
      </c>
      <c r="P6" s="8">
        <f t="shared" ca="1" si="4"/>
        <v>0.93291717789776474</v>
      </c>
      <c r="Q6" s="8">
        <f t="shared" ca="1" si="1"/>
        <v>10.772399565119107</v>
      </c>
      <c r="R6" s="14">
        <f t="shared" ca="1" si="5"/>
        <v>94.203197707461115</v>
      </c>
      <c r="S6" s="13"/>
      <c r="T6" s="9">
        <v>80</v>
      </c>
      <c r="U6" s="9">
        <v>6590.0833697140906</v>
      </c>
      <c r="V6" s="3">
        <v>28.943745718057663</v>
      </c>
      <c r="W6" s="9"/>
      <c r="X6" s="9">
        <v>46.636215425051127</v>
      </c>
      <c r="Y6" s="9">
        <v>1673.034487034003</v>
      </c>
      <c r="Z6" s="9">
        <v>3311.7101136308552</v>
      </c>
      <c r="AA6" s="9">
        <v>4946.3838020949242</v>
      </c>
      <c r="AB6" s="9">
        <v>6593.8953486535565</v>
      </c>
      <c r="AC6" s="9">
        <v>8159.0401489606529</v>
      </c>
      <c r="AD6" s="9">
        <v>6631.6994351627636</v>
      </c>
      <c r="AE6" s="9">
        <v>5016.6855060324042</v>
      </c>
      <c r="AF6" s="9">
        <v>3374.8124654397716</v>
      </c>
      <c r="AG6" s="9">
        <v>1733.9580316307704</v>
      </c>
      <c r="AH6" s="9">
        <v>94.203206886548855</v>
      </c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</row>
    <row r="7" spans="1:47" s="1" customFormat="1" x14ac:dyDescent="0.35">
      <c r="A7" s="20" t="s">
        <v>9</v>
      </c>
      <c r="B7" s="31">
        <f>PI()*1</f>
        <v>3.1415926535897931</v>
      </c>
      <c r="C7" s="37"/>
      <c r="D7" s="6">
        <v>0.125</v>
      </c>
      <c r="E7" s="6">
        <f>D7*$B$5*20*0.288675131628341</f>
        <v>14.43375658141705</v>
      </c>
      <c r="F7" s="15">
        <v>0.2</v>
      </c>
      <c r="G7" s="16">
        <v>0.5</v>
      </c>
      <c r="H7" s="15">
        <v>0.05</v>
      </c>
      <c r="I7" s="15">
        <v>0.4</v>
      </c>
      <c r="J7" s="15">
        <v>1</v>
      </c>
      <c r="K7" s="17">
        <v>-93.220764519706478</v>
      </c>
      <c r="L7" s="17">
        <v>0.91355993683891301</v>
      </c>
      <c r="M7" s="7">
        <v>0</v>
      </c>
      <c r="N7" s="3">
        <f t="shared" ca="1" si="0"/>
        <v>93.220756171492155</v>
      </c>
      <c r="O7" s="3">
        <f t="shared" ca="1" si="3"/>
        <v>-93.220756171492155</v>
      </c>
      <c r="P7" s="8">
        <f t="shared" ca="1" si="4"/>
        <v>0.91356035424962911</v>
      </c>
      <c r="Q7" s="8">
        <f ca="1">P7*E7</f>
        <v>13.186107775672276</v>
      </c>
      <c r="R7" s="14">
        <f t="shared" ca="1" si="5"/>
        <v>130.66170504825249</v>
      </c>
      <c r="S7" s="13"/>
      <c r="T7" s="9">
        <v>99</v>
      </c>
      <c r="U7" s="9">
        <v>8155.228170021187</v>
      </c>
      <c r="V7" s="3">
        <v>107.24633539931902</v>
      </c>
      <c r="W7" s="9"/>
      <c r="X7" s="9">
        <v>57.258732570637513</v>
      </c>
      <c r="Y7" s="9">
        <v>1671.9537914710811</v>
      </c>
      <c r="Z7" s="9">
        <v>3305.841701885417</v>
      </c>
      <c r="AA7" s="9">
        <v>4932.9080036051046</v>
      </c>
      <c r="AB7" s="9">
        <v>6580.4145868070054</v>
      </c>
      <c r="AC7" s="9">
        <v>8145.5593871141018</v>
      </c>
      <c r="AD7" s="9">
        <v>6638.1311149723197</v>
      </c>
      <c r="AE7" s="9">
        <v>5042.4004457555266</v>
      </c>
      <c r="AF7" s="9">
        <v>3403.5182657780283</v>
      </c>
      <c r="AG7" s="9">
        <v>1766.2310194570293</v>
      </c>
      <c r="AH7" s="9">
        <v>130.66171822657137</v>
      </c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1:47" s="1" customFormat="1" x14ac:dyDescent="0.35">
      <c r="A8" s="20" t="s">
        <v>20</v>
      </c>
      <c r="B8" s="30">
        <v>25</v>
      </c>
      <c r="C8" s="37"/>
      <c r="D8" s="6">
        <v>0.15000000000000002</v>
      </c>
      <c r="E8" s="6">
        <f t="shared" si="2"/>
        <v>17.320507897700463</v>
      </c>
      <c r="F8" s="15">
        <v>0.2</v>
      </c>
      <c r="G8" s="16">
        <v>0.5</v>
      </c>
      <c r="H8" s="15">
        <v>0.05</v>
      </c>
      <c r="I8" s="15">
        <v>0.4</v>
      </c>
      <c r="J8" s="15">
        <v>1</v>
      </c>
      <c r="K8" s="17">
        <v>-93.213205250442499</v>
      </c>
      <c r="L8" s="17">
        <v>0.89423382571607346</v>
      </c>
      <c r="M8" s="7">
        <v>0</v>
      </c>
      <c r="N8" s="3">
        <f t="shared" ca="1" si="0"/>
        <v>93.213193717729681</v>
      </c>
      <c r="O8" s="3">
        <f t="shared" ca="1" si="3"/>
        <v>-93.213193717729681</v>
      </c>
      <c r="P8" s="8">
        <f t="shared" ca="1" si="4"/>
        <v>0.89423440235171436</v>
      </c>
      <c r="Q8" s="8">
        <f ca="1">P8*E8</f>
        <v>15.488594028328322</v>
      </c>
      <c r="R8" s="14">
        <f t="shared" ca="1" si="5"/>
        <v>171.83640685225308</v>
      </c>
      <c r="S8" s="13"/>
      <c r="T8" s="9">
        <v>80</v>
      </c>
      <c r="U8" s="9">
        <v>6590.0833697140906</v>
      </c>
      <c r="V8" s="3">
        <v>104.99963344709074</v>
      </c>
      <c r="W8" s="9"/>
      <c r="X8" s="9">
        <v>67.479772105936604</v>
      </c>
      <c r="Y8" s="9">
        <v>1667.9849349401104</v>
      </c>
      <c r="Z8" s="9">
        <v>3296.147318811436</v>
      </c>
      <c r="AA8" s="9">
        <v>4913.6596329491231</v>
      </c>
      <c r="AB8" s="9">
        <v>6561.160322327888</v>
      </c>
      <c r="AC8" s="9">
        <v>8126.3051226349844</v>
      </c>
      <c r="AD8" s="9">
        <v>6642.3089896073643</v>
      </c>
      <c r="AE8" s="9">
        <v>5070.57905599681</v>
      </c>
      <c r="AF8" s="9">
        <v>3435.4668629451839</v>
      </c>
      <c r="AG8" s="9">
        <v>1802.413525241931</v>
      </c>
      <c r="AH8" s="9">
        <v>171.83642488059306</v>
      </c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</row>
    <row r="9" spans="1:47" s="1" customFormat="1" x14ac:dyDescent="0.35">
      <c r="A9" s="20" t="s">
        <v>4</v>
      </c>
      <c r="B9" s="32">
        <v>10000000</v>
      </c>
      <c r="C9" s="37"/>
      <c r="D9" s="6">
        <v>0.17500000000000002</v>
      </c>
      <c r="E9" s="6">
        <f t="shared" si="2"/>
        <v>20.207259213983875</v>
      </c>
      <c r="F9" s="15">
        <v>0.2</v>
      </c>
      <c r="G9" s="16">
        <v>0.5</v>
      </c>
      <c r="H9" s="15">
        <v>0.05</v>
      </c>
      <c r="I9" s="15">
        <v>0.4</v>
      </c>
      <c r="J9" s="15">
        <v>1</v>
      </c>
      <c r="K9" s="17">
        <v>-93.203474824137885</v>
      </c>
      <c r="L9" s="17">
        <v>0.87478606704472106</v>
      </c>
      <c r="M9" s="7">
        <v>0</v>
      </c>
      <c r="N9" s="3">
        <f t="shared" ca="1" si="0"/>
        <v>93.203460255749704</v>
      </c>
      <c r="O9" s="3">
        <f t="shared" ca="1" si="3"/>
        <v>-93.203460255749704</v>
      </c>
      <c r="P9" s="8">
        <f t="shared" ca="1" si="4"/>
        <v>0.87478679546413007</v>
      </c>
      <c r="Q9" s="8">
        <f t="shared" ca="1" si="1"/>
        <v>17.67704353291397</v>
      </c>
      <c r="R9" s="14">
        <f ca="1">R8+($B$8*$D$3*$B$5)+($B$7*$D$3*$B$5*(Q8+Q9)/(2*$B$6))</f>
        <v>217.50204441349536</v>
      </c>
      <c r="S9" s="13"/>
      <c r="T9" s="9">
        <v>60</v>
      </c>
      <c r="U9" s="9">
        <v>4942.5625272855677</v>
      </c>
      <c r="V9" s="3">
        <v>102.61866057802308</v>
      </c>
      <c r="W9" s="9"/>
      <c r="X9" s="9">
        <v>77.309184555714523</v>
      </c>
      <c r="Y9" s="9">
        <v>1661.1755043580108</v>
      </c>
      <c r="Z9" s="9">
        <v>3282.7210490407829</v>
      </c>
      <c r="AA9" s="9">
        <v>4888.7899671048681</v>
      </c>
      <c r="AB9" s="9">
        <v>6536.1325552162034</v>
      </c>
      <c r="AC9" s="9">
        <v>8101.2773555232998</v>
      </c>
      <c r="AD9" s="9">
        <v>6643.9017072181059</v>
      </c>
      <c r="AE9" s="9">
        <v>5100.0591049464037</v>
      </c>
      <c r="AF9" s="9">
        <v>3470.5278655836082</v>
      </c>
      <c r="AG9" s="9">
        <v>1842.3273504622421</v>
      </c>
      <c r="AH9" s="9">
        <v>217.50206780076229</v>
      </c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</row>
    <row r="10" spans="1:47" s="1" customFormat="1" x14ac:dyDescent="0.35">
      <c r="A10" s="20"/>
      <c r="B10" s="20"/>
      <c r="C10" s="37"/>
      <c r="D10" s="6">
        <v>0.2</v>
      </c>
      <c r="E10" s="6">
        <f t="shared" si="2"/>
        <v>23.094010530267283</v>
      </c>
      <c r="F10" s="15">
        <v>0.2</v>
      </c>
      <c r="G10" s="16">
        <v>0.5</v>
      </c>
      <c r="H10" s="15">
        <v>0.05</v>
      </c>
      <c r="I10" s="15">
        <v>0.4</v>
      </c>
      <c r="J10" s="15">
        <v>1</v>
      </c>
      <c r="K10" s="17">
        <v>-93.191354062602258</v>
      </c>
      <c r="L10" s="17">
        <v>0.85551115529673394</v>
      </c>
      <c r="M10" s="7">
        <v>0</v>
      </c>
      <c r="N10" s="3">
        <f t="shared" ca="1" si="0"/>
        <v>93.191336796872221</v>
      </c>
      <c r="O10" s="3">
        <f t="shared" ca="1" si="3"/>
        <v>-93.191336796872221</v>
      </c>
      <c r="P10" s="8">
        <f t="shared" ca="1" si="4"/>
        <v>0.85551201858323578</v>
      </c>
      <c r="Q10" s="8">
        <f t="shared" ca="1" si="1"/>
        <v>19.757203565931466</v>
      </c>
      <c r="R10" s="14">
        <f t="shared" ca="1" si="5"/>
        <v>267.4362915123408</v>
      </c>
      <c r="S10" s="13"/>
      <c r="T10" s="9">
        <v>40</v>
      </c>
      <c r="U10" s="9">
        <v>3295.0416848570453</v>
      </c>
      <c r="V10" s="3">
        <v>99.944253499971126</v>
      </c>
      <c r="W10" s="9"/>
      <c r="X10" s="9">
        <v>86.758661009279308</v>
      </c>
      <c r="Y10" s="9">
        <v>1651.5727977422866</v>
      </c>
      <c r="Z10" s="9">
        <v>3265.6564018916688</v>
      </c>
      <c r="AA10" s="9">
        <v>4858.5962690487268</v>
      </c>
      <c r="AB10" s="9">
        <v>6505.3312854719525</v>
      </c>
      <c r="AC10" s="9">
        <v>8070.4760857790488</v>
      </c>
      <c r="AD10" s="9">
        <v>6642.5902239994566</v>
      </c>
      <c r="AE10" s="9">
        <v>5129.6437877604303</v>
      </c>
      <c r="AF10" s="9">
        <v>3508.571634168823</v>
      </c>
      <c r="AG10" s="9">
        <v>1885.7954929556222</v>
      </c>
      <c r="AH10" s="9">
        <v>267.43631928478538</v>
      </c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</row>
    <row r="11" spans="1:47" s="1" customFormat="1" x14ac:dyDescent="0.35">
      <c r="A11" s="20" t="s">
        <v>31</v>
      </c>
      <c r="B11" s="33">
        <f>($B$8*$B$5*$B$6)</f>
        <v>392.69908169872411</v>
      </c>
      <c r="C11" s="37"/>
      <c r="D11" s="6">
        <v>0.22500000000000001</v>
      </c>
      <c r="E11" s="6">
        <f t="shared" si="2"/>
        <v>25.980761846550692</v>
      </c>
      <c r="F11" s="15">
        <v>0.2</v>
      </c>
      <c r="G11" s="16">
        <v>0.5</v>
      </c>
      <c r="H11" s="15">
        <v>0.05</v>
      </c>
      <c r="I11" s="15">
        <v>0.4</v>
      </c>
      <c r="J11" s="15">
        <v>1</v>
      </c>
      <c r="K11" s="17">
        <v>-93.176629689438741</v>
      </c>
      <c r="L11" s="17">
        <v>0.83637437620089006</v>
      </c>
      <c r="M11" s="7">
        <v>0</v>
      </c>
      <c r="N11" s="3">
        <f t="shared" ca="1" si="0"/>
        <v>93.176615310350698</v>
      </c>
      <c r="O11" s="3">
        <f t="shared" ca="1" si="3"/>
        <v>-93.176615310350698</v>
      </c>
      <c r="P11" s="8">
        <f t="shared" ca="1" si="4"/>
        <v>0.83637509515529218</v>
      </c>
      <c r="Q11" s="8">
        <f t="shared" ca="1" si="1"/>
        <v>21.729662161615821</v>
      </c>
      <c r="R11" s="14">
        <f t="shared" ca="1" si="5"/>
        <v>321.4231572398881</v>
      </c>
      <c r="S11" s="13"/>
      <c r="T11" s="9">
        <v>20</v>
      </c>
      <c r="U11" s="9">
        <v>1647.5208424285227</v>
      </c>
      <c r="V11" s="3">
        <v>96.828987487350872</v>
      </c>
      <c r="W11" s="9"/>
      <c r="X11" s="9">
        <v>95.841463356108065</v>
      </c>
      <c r="Y11" s="9">
        <v>1639.2234520217523</v>
      </c>
      <c r="Z11" s="9">
        <v>3245.046103674305</v>
      </c>
      <c r="AA11" s="9">
        <v>4823.2948007448222</v>
      </c>
      <c r="AB11" s="9">
        <v>6468.7565130951343</v>
      </c>
      <c r="AC11" s="9">
        <v>8033.9013134022307</v>
      </c>
      <c r="AD11" s="9">
        <v>6638.0650220424495</v>
      </c>
      <c r="AE11" s="9">
        <v>5158.7152454607449</v>
      </c>
      <c r="AF11" s="9">
        <v>3549.4749638409744</v>
      </c>
      <c r="AG11" s="9">
        <v>1932.6486737044818</v>
      </c>
      <c r="AH11" s="9">
        <v>321.42318915047565</v>
      </c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s="1" customFormat="1" x14ac:dyDescent="0.35">
      <c r="A12" s="20" t="s">
        <v>32</v>
      </c>
      <c r="B12" s="33">
        <f>(SUM($E$3:$E$41)+(($E$2+$E$42)/2))*$B$7*$D$3*$B$5</f>
        <v>3627.5986911906512</v>
      </c>
      <c r="C12" s="37"/>
      <c r="D12" s="6">
        <v>0.25</v>
      </c>
      <c r="E12" s="6">
        <f t="shared" si="2"/>
        <v>28.867513162834101</v>
      </c>
      <c r="F12" s="15">
        <v>0.2</v>
      </c>
      <c r="G12" s="16">
        <v>0.5</v>
      </c>
      <c r="H12" s="15">
        <v>0.05</v>
      </c>
      <c r="I12" s="15">
        <v>0.4</v>
      </c>
      <c r="J12" s="15">
        <v>1</v>
      </c>
      <c r="K12" s="17">
        <v>-93.15911791977193</v>
      </c>
      <c r="L12" s="17">
        <v>0.8174357846382585</v>
      </c>
      <c r="M12" s="3">
        <v>0</v>
      </c>
      <c r="N12" s="3">
        <f t="shared" ca="1" si="0"/>
        <v>93.159098476612854</v>
      </c>
      <c r="O12" s="3">
        <f t="shared" ca="1" si="3"/>
        <v>-93.159098476612854</v>
      </c>
      <c r="P12" s="8">
        <f t="shared" ca="1" si="4"/>
        <v>0.8174367567962123</v>
      </c>
      <c r="Q12" s="8">
        <f t="shared" ca="1" si="1"/>
        <v>23.597366336599077</v>
      </c>
      <c r="R12" s="14">
        <f t="shared" ca="1" si="5"/>
        <v>379.25018573810303</v>
      </c>
      <c r="S12" s="13"/>
      <c r="T12" s="9">
        <v>0</v>
      </c>
      <c r="U12" s="9">
        <v>0</v>
      </c>
      <c r="V12" s="3">
        <v>93.234448954101069</v>
      </c>
      <c r="W12" s="9"/>
      <c r="X12" s="9">
        <v>104.57230590642297</v>
      </c>
      <c r="Y12" s="9">
        <v>1624.1733445002249</v>
      </c>
      <c r="Z12" s="9">
        <v>3220.9813313496265</v>
      </c>
      <c r="AA12" s="9">
        <v>4783.0223676096812</v>
      </c>
      <c r="AB12" s="9">
        <v>6426.4082380857499</v>
      </c>
      <c r="AC12" s="9">
        <v>7991.5530383928462</v>
      </c>
      <c r="AD12" s="9">
        <v>6630.0274876562862</v>
      </c>
      <c r="AE12" s="9">
        <v>5186.6801651267742</v>
      </c>
      <c r="AF12" s="9">
        <v>3593.1184948552136</v>
      </c>
      <c r="AG12" s="9">
        <v>1982.7217713568311</v>
      </c>
      <c r="AH12" s="9">
        <v>379.25022187674938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s="1" customFormat="1" x14ac:dyDescent="0.35">
      <c r="A13" s="20" t="s">
        <v>33</v>
      </c>
      <c r="B13" s="33">
        <f>B17*B6</f>
        <v>3234.899609519965</v>
      </c>
      <c r="C13" s="19"/>
      <c r="D13" s="6">
        <v>0.27500000000000002</v>
      </c>
      <c r="E13" s="6">
        <f t="shared" si="2"/>
        <v>31.754264479117513</v>
      </c>
      <c r="F13" s="15">
        <v>0.2</v>
      </c>
      <c r="G13" s="16">
        <v>0.5</v>
      </c>
      <c r="H13" s="15">
        <v>0.05</v>
      </c>
      <c r="I13" s="15">
        <v>0.4</v>
      </c>
      <c r="J13" s="15">
        <v>1</v>
      </c>
      <c r="K13" s="17">
        <v>-93.138615354269163</v>
      </c>
      <c r="L13" s="17">
        <v>0.79873713255336154</v>
      </c>
      <c r="M13" s="3">
        <v>0</v>
      </c>
      <c r="N13" s="3">
        <f t="shared" ca="1" si="0"/>
        <v>93.138599449736617</v>
      </c>
      <c r="O13" s="3">
        <f t="shared" ca="1" si="3"/>
        <v>-93.138599449736617</v>
      </c>
      <c r="P13" s="8">
        <f t="shared" ca="1" si="4"/>
        <v>0.79873792777998887</v>
      </c>
      <c r="Q13" s="8">
        <f t="shared" ca="1" si="1"/>
        <v>25.363335408228028</v>
      </c>
      <c r="R13" s="14">
        <f t="shared" ca="1" si="5"/>
        <v>440.71088748293016</v>
      </c>
      <c r="S13" s="13"/>
      <c r="T13" s="9"/>
      <c r="U13" s="9"/>
      <c r="V13" s="3"/>
      <c r="W13" s="9"/>
      <c r="X13" s="9">
        <v>112.96764001301747</v>
      </c>
      <c r="Y13" s="9">
        <v>1606.809770237141</v>
      </c>
      <c r="Z13" s="9">
        <v>3193.550535396801</v>
      </c>
      <c r="AA13" s="9">
        <v>4737.9099181785368</v>
      </c>
      <c r="AB13" s="9">
        <v>6378.2864604437982</v>
      </c>
      <c r="AC13" s="9">
        <v>7943.4312607508946</v>
      </c>
      <c r="AD13" s="9">
        <v>6618.1916590287474</v>
      </c>
      <c r="AE13" s="9">
        <v>5212.9720807799704</v>
      </c>
      <c r="AF13" s="9">
        <v>3639.3872905519247</v>
      </c>
      <c r="AG13" s="9">
        <v>2035.8540718295073</v>
      </c>
      <c r="AH13" s="9">
        <v>440.71092480194795</v>
      </c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s="1" customFormat="1" x14ac:dyDescent="0.35">
      <c r="A14" s="20" t="s">
        <v>3</v>
      </c>
      <c r="B14" s="33">
        <f>$B$12+$B$13-$B$11</f>
        <v>6469.7992190118921</v>
      </c>
      <c r="C14" s="37"/>
      <c r="D14" s="6">
        <v>0.30000000000000004</v>
      </c>
      <c r="E14" s="6">
        <f t="shared" si="2"/>
        <v>34.641015795400925</v>
      </c>
      <c r="F14" s="15">
        <v>0.2</v>
      </c>
      <c r="G14" s="16">
        <v>0.5</v>
      </c>
      <c r="H14" s="15">
        <v>0.05</v>
      </c>
      <c r="I14" s="15">
        <v>0.4</v>
      </c>
      <c r="J14" s="15">
        <v>1</v>
      </c>
      <c r="K14" s="17">
        <v>-93.114959753911336</v>
      </c>
      <c r="L14" s="17">
        <v>0.78030620081370905</v>
      </c>
      <c r="M14" s="3">
        <v>0</v>
      </c>
      <c r="N14" s="3">
        <f t="shared" ca="1" si="0"/>
        <v>93.114941556247302</v>
      </c>
      <c r="O14" s="3">
        <f t="shared" ca="1" si="3"/>
        <v>-93.114941556247302</v>
      </c>
      <c r="P14" s="8">
        <f t="shared" ca="1" si="4"/>
        <v>0.78030711069691072</v>
      </c>
      <c r="Q14" s="8">
        <f t="shared" ca="1" si="1"/>
        <v>27.030630946915341</v>
      </c>
      <c r="R14" s="14">
        <f t="shared" ca="1" si="5"/>
        <v>505.60485383807355</v>
      </c>
      <c r="S14" s="13"/>
      <c r="T14" s="9"/>
      <c r="U14" s="9"/>
      <c r="V14" s="3"/>
      <c r="W14" s="9"/>
      <c r="X14" s="9">
        <v>121.04520018461494</v>
      </c>
      <c r="Y14" s="9">
        <v>1587.615215352389</v>
      </c>
      <c r="Z14" s="9">
        <v>3162.8405101265525</v>
      </c>
      <c r="AA14" s="9">
        <v>4688.0857857493884</v>
      </c>
      <c r="AB14" s="9">
        <v>6324.3911801692793</v>
      </c>
      <c r="AC14" s="9">
        <v>7889.5359804763757</v>
      </c>
      <c r="AD14" s="9">
        <v>6602.2845784580004</v>
      </c>
      <c r="AE14" s="9">
        <v>5237.0526864914482</v>
      </c>
      <c r="AF14" s="9">
        <v>3688.1712939757249</v>
      </c>
      <c r="AG14" s="9">
        <v>2091.8900350542867</v>
      </c>
      <c r="AH14" s="9">
        <v>505.60489113603677</v>
      </c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s="1" customFormat="1" x14ac:dyDescent="0.35">
      <c r="A15" s="20" t="s">
        <v>8</v>
      </c>
      <c r="B15" s="33">
        <f>-$B$12-$B$11</f>
        <v>-4020.2977728893752</v>
      </c>
      <c r="C15" s="37"/>
      <c r="D15" s="6">
        <v>0.32500000000000001</v>
      </c>
      <c r="E15" s="6">
        <f t="shared" si="2"/>
        <v>37.527767111684334</v>
      </c>
      <c r="F15" s="15">
        <v>0.2</v>
      </c>
      <c r="G15" s="16">
        <v>0.5</v>
      </c>
      <c r="H15" s="15">
        <v>0.05</v>
      </c>
      <c r="I15" s="15">
        <v>0.4</v>
      </c>
      <c r="J15" s="15">
        <v>1</v>
      </c>
      <c r="K15" s="17">
        <v>-93.087976045893768</v>
      </c>
      <c r="L15" s="17">
        <v>0.7621602484334864</v>
      </c>
      <c r="M15" s="3">
        <v>0</v>
      </c>
      <c r="N15" s="3">
        <f t="shared" ca="1" si="0"/>
        <v>93.087957992735582</v>
      </c>
      <c r="O15" s="3">
        <f t="shared" ca="1" si="3"/>
        <v>-93.087957992735582</v>
      </c>
      <c r="P15" s="8">
        <f t="shared" ca="1" si="4"/>
        <v>0.76216115109139571</v>
      </c>
      <c r="Q15" s="8">
        <f t="shared" ca="1" si="1"/>
        <v>28.602206179731155</v>
      </c>
      <c r="R15" s="14">
        <f t="shared" ca="1" si="5"/>
        <v>573.73769096471995</v>
      </c>
      <c r="S15" s="13"/>
      <c r="T15" s="9"/>
      <c r="U15" s="9"/>
      <c r="V15" s="3"/>
      <c r="W15" s="9"/>
      <c r="X15" s="9">
        <v>128.82380277127805</v>
      </c>
      <c r="Y15" s="9">
        <v>1566.7913886384802</v>
      </c>
      <c r="Z15" s="9">
        <v>3128.9375138925384</v>
      </c>
      <c r="AA15" s="9">
        <v>4633.676673348341</v>
      </c>
      <c r="AB15" s="9">
        <v>6264.7223972621941</v>
      </c>
      <c r="AC15" s="9">
        <v>7829.8671975692905</v>
      </c>
      <c r="AD15" s="9">
        <v>6582.0479576569915</v>
      </c>
      <c r="AE15" s="9">
        <v>5258.4129387540424</v>
      </c>
      <c r="AF15" s="9">
        <v>3739.3657568458634</v>
      </c>
      <c r="AG15" s="9">
        <v>2150.6797269520939</v>
      </c>
      <c r="AH15" s="9">
        <v>573.73772856671019</v>
      </c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s="1" customFormat="1" x14ac:dyDescent="0.35">
      <c r="A16" s="20"/>
      <c r="B16" s="20"/>
      <c r="C16" s="37"/>
      <c r="D16" s="6">
        <v>0.35000000000000003</v>
      </c>
      <c r="E16" s="6">
        <f t="shared" si="2"/>
        <v>40.414518427967749</v>
      </c>
      <c r="F16" s="15">
        <v>0.2</v>
      </c>
      <c r="G16" s="16">
        <v>0.5</v>
      </c>
      <c r="H16" s="15">
        <v>0.05</v>
      </c>
      <c r="I16" s="15">
        <v>0.4</v>
      </c>
      <c r="J16" s="15">
        <v>1</v>
      </c>
      <c r="K16" s="17">
        <v>-93.057511136737517</v>
      </c>
      <c r="L16" s="17">
        <v>0.74432141491865456</v>
      </c>
      <c r="M16" s="3">
        <v>0</v>
      </c>
      <c r="N16" s="3">
        <f t="shared" ca="1" si="0"/>
        <v>93.057491517405538</v>
      </c>
      <c r="O16" s="3">
        <f t="shared" ca="1" si="3"/>
        <v>-93.057491517405538</v>
      </c>
      <c r="P16" s="8">
        <f t="shared" ca="1" si="4"/>
        <v>0.74432239588525351</v>
      </c>
      <c r="Q16" s="8">
        <f t="shared" ca="1" si="1"/>
        <v>30.081431184853685</v>
      </c>
      <c r="R16" s="14">
        <f t="shared" ca="1" si="5"/>
        <v>644.92132832930474</v>
      </c>
      <c r="S16" s="13"/>
      <c r="T16" s="9"/>
      <c r="U16" s="9"/>
      <c r="V16" s="3"/>
      <c r="W16" s="9"/>
      <c r="X16" s="9">
        <v>136.3236818482288</v>
      </c>
      <c r="Y16" s="9">
        <v>1544.5034936969298</v>
      </c>
      <c r="Z16" s="9">
        <v>3091.9260153504397</v>
      </c>
      <c r="AA16" s="9">
        <v>4574.8062438527495</v>
      </c>
      <c r="AB16" s="9">
        <v>6199.2801117225417</v>
      </c>
      <c r="AC16" s="9">
        <v>7764.4249120296381</v>
      </c>
      <c r="AD16" s="9">
        <v>6557.2391149363266</v>
      </c>
      <c r="AE16" s="9">
        <v>5276.573977979323</v>
      </c>
      <c r="AF16" s="9">
        <v>3792.8717500196972</v>
      </c>
      <c r="AG16" s="9">
        <v>2212.0793398351416</v>
      </c>
      <c r="AH16" s="9">
        <v>644.92136276832673</v>
      </c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s="1" customFormat="1" x14ac:dyDescent="0.35">
      <c r="A17" s="20" t="s">
        <v>2</v>
      </c>
      <c r="B17" s="34">
        <v>4118.802106089156</v>
      </c>
      <c r="C17" s="37"/>
      <c r="D17" s="6">
        <v>0.375</v>
      </c>
      <c r="E17" s="6">
        <f t="shared" si="2"/>
        <v>43.301269744251151</v>
      </c>
      <c r="F17" s="15">
        <v>0.2</v>
      </c>
      <c r="G17" s="16">
        <v>0.5</v>
      </c>
      <c r="H17" s="15">
        <v>0.05</v>
      </c>
      <c r="I17" s="15">
        <v>0.4</v>
      </c>
      <c r="J17" s="15">
        <v>1</v>
      </c>
      <c r="K17" s="17">
        <v>-93.023412699344476</v>
      </c>
      <c r="L17" s="17">
        <v>0.72677253238031636</v>
      </c>
      <c r="M17" s="3">
        <v>0</v>
      </c>
      <c r="N17" s="3">
        <f t="shared" ca="1" si="0"/>
        <v>93.023394160048426</v>
      </c>
      <c r="O17" s="3">
        <f t="shared" ca="1" si="3"/>
        <v>-93.023394160048426</v>
      </c>
      <c r="P17" s="8">
        <f t="shared" ca="1" si="4"/>
        <v>0.72677345934511883</v>
      </c>
      <c r="Q17" s="8">
        <f t="shared" ca="1" si="1"/>
        <v>31.470213606065538</v>
      </c>
      <c r="R17" s="14">
        <f t="shared" ca="1" si="5"/>
        <v>718.97297312022397</v>
      </c>
      <c r="S17" s="13"/>
      <c r="T17" s="9"/>
      <c r="U17" s="9"/>
      <c r="V17" s="3"/>
      <c r="W17" s="9"/>
      <c r="X17" s="9">
        <v>143.56634847414526</v>
      </c>
      <c r="Y17" s="9">
        <v>1520.912217121564</v>
      </c>
      <c r="Z17" s="9">
        <v>3051.8884742529508</v>
      </c>
      <c r="AA17" s="9">
        <v>4511.5950361981013</v>
      </c>
      <c r="AB17" s="9">
        <v>6128.064323550323</v>
      </c>
      <c r="AC17" s="9">
        <v>7693.2091238574194</v>
      </c>
      <c r="AD17" s="9">
        <v>6527.629430343799</v>
      </c>
      <c r="AE17" s="9">
        <v>5291.0729576081358</v>
      </c>
      <c r="AF17" s="9">
        <v>3848.5947904699151</v>
      </c>
      <c r="AG17" s="9">
        <v>2275.9498921244895</v>
      </c>
      <c r="AH17" s="9">
        <v>718.9730030605831</v>
      </c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s="1" customFormat="1" x14ac:dyDescent="0.35">
      <c r="A18" s="20" t="s">
        <v>21</v>
      </c>
      <c r="B18" s="34">
        <v>100</v>
      </c>
      <c r="C18" s="37"/>
      <c r="D18" s="6">
        <v>0.4</v>
      </c>
      <c r="E18" s="6">
        <f t="shared" si="2"/>
        <v>46.188021060534567</v>
      </c>
      <c r="F18" s="15">
        <v>0.2</v>
      </c>
      <c r="G18" s="16">
        <v>0.5</v>
      </c>
      <c r="H18" s="15">
        <v>0.05</v>
      </c>
      <c r="I18" s="15">
        <v>0.4</v>
      </c>
      <c r="J18" s="15">
        <v>1</v>
      </c>
      <c r="K18" s="17">
        <v>-92.985544650883526</v>
      </c>
      <c r="L18" s="17">
        <v>0.70940657649732375</v>
      </c>
      <c r="M18" s="3">
        <v>0</v>
      </c>
      <c r="N18" s="3">
        <f t="shared" ca="1" si="0"/>
        <v>92.985527103084067</v>
      </c>
      <c r="O18" s="3">
        <f t="shared" ca="1" si="3"/>
        <v>-92.985527103084067</v>
      </c>
      <c r="P18" s="8">
        <f t="shared" ca="1" si="4"/>
        <v>0.70940745388729665</v>
      </c>
      <c r="Q18" s="8">
        <f t="shared" ca="1" si="1"/>
        <v>32.766126420646664</v>
      </c>
      <c r="R18" s="14">
        <f t="shared" ca="1" si="5"/>
        <v>795.70931314693621</v>
      </c>
      <c r="S18" s="13"/>
      <c r="T18" s="9"/>
      <c r="U18" s="9"/>
      <c r="V18" s="3"/>
      <c r="W18" s="9"/>
      <c r="X18" s="9">
        <v>150.57456486272008</v>
      </c>
      <c r="Y18" s="9">
        <v>1496.173691888144</v>
      </c>
      <c r="Z18" s="9">
        <v>3008.9052521715444</v>
      </c>
      <c r="AA18" s="9">
        <v>4444.1603251085335</v>
      </c>
      <c r="AB18" s="9">
        <v>6051.0750327455371</v>
      </c>
      <c r="AC18" s="9">
        <v>7616.2198330526335</v>
      </c>
      <c r="AD18" s="9">
        <v>6493.0049661098983</v>
      </c>
      <c r="AE18" s="9">
        <v>5301.4138483573352</v>
      </c>
      <c r="AF18" s="9">
        <v>3906.438953885242</v>
      </c>
      <c r="AG18" s="9">
        <v>2342.1513840393031</v>
      </c>
      <c r="AH18" s="9">
        <v>795.70933934900222</v>
      </c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s="1" customFormat="1" x14ac:dyDescent="0.35">
      <c r="A19" s="22" t="s">
        <v>22</v>
      </c>
      <c r="B19" s="31">
        <f>1/3.32</f>
        <v>0.30120481927710846</v>
      </c>
      <c r="C19" s="37"/>
      <c r="D19" s="6">
        <v>0.42500000000000004</v>
      </c>
      <c r="E19" s="6">
        <f t="shared" si="2"/>
        <v>49.074772376817975</v>
      </c>
      <c r="F19" s="15">
        <v>0.2</v>
      </c>
      <c r="G19" s="16">
        <v>0.5</v>
      </c>
      <c r="H19" s="15">
        <v>0.05</v>
      </c>
      <c r="I19" s="15">
        <v>0.4</v>
      </c>
      <c r="J19" s="15">
        <v>1</v>
      </c>
      <c r="K19" s="17">
        <v>-92.943776724271189</v>
      </c>
      <c r="L19" s="17">
        <v>0.69262210986287875</v>
      </c>
      <c r="M19" s="3">
        <v>0</v>
      </c>
      <c r="N19" s="3">
        <f t="shared" ca="1" si="0"/>
        <v>92.943760226639498</v>
      </c>
      <c r="O19" s="3">
        <f t="shared" ca="1" si="3"/>
        <v>-92.943760226639498</v>
      </c>
      <c r="P19" s="8">
        <f t="shared" ca="1" si="4"/>
        <v>0.69262293474446335</v>
      </c>
      <c r="Q19" s="8">
        <f t="shared" ca="1" si="1"/>
        <v>33.990312865548191</v>
      </c>
      <c r="R19" s="14">
        <f t="shared" ca="1" si="5"/>
        <v>874.965752433131</v>
      </c>
      <c r="S19" s="13"/>
      <c r="T19" s="9"/>
      <c r="U19" s="9"/>
      <c r="V19" s="3"/>
      <c r="W19" s="9"/>
      <c r="X19" s="9">
        <v>157.37220213947722</v>
      </c>
      <c r="Y19" s="9">
        <v>1470.4394810219824</v>
      </c>
      <c r="Z19" s="9">
        <v>2963.0544470689247</v>
      </c>
      <c r="AA19" s="9">
        <v>4372.6156409664218</v>
      </c>
      <c r="AB19" s="9">
        <v>5968.3122393081849</v>
      </c>
      <c r="AC19" s="9">
        <v>7533.4570396152812</v>
      </c>
      <c r="AD19" s="9">
        <v>6453.1679179254879</v>
      </c>
      <c r="AE19" s="9">
        <v>5307.1366110776044</v>
      </c>
      <c r="AF19" s="9">
        <v>3963.9456993959607</v>
      </c>
      <c r="AG19" s="9">
        <v>2410.562057514901</v>
      </c>
      <c r="AH19" s="9">
        <v>874.96577312580825</v>
      </c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s="1" customFormat="1" x14ac:dyDescent="0.35">
      <c r="A20" s="20" t="s">
        <v>14</v>
      </c>
      <c r="B20" s="31">
        <v>0.1</v>
      </c>
      <c r="C20" s="37"/>
      <c r="D20" s="6">
        <v>0.45</v>
      </c>
      <c r="E20" s="6">
        <f t="shared" si="2"/>
        <v>51.961523693101384</v>
      </c>
      <c r="F20" s="15">
        <v>0.2</v>
      </c>
      <c r="G20" s="16">
        <v>0.5</v>
      </c>
      <c r="H20" s="15">
        <v>0.05</v>
      </c>
      <c r="I20" s="15">
        <v>0.4</v>
      </c>
      <c r="J20" s="15">
        <v>1</v>
      </c>
      <c r="K20" s="17">
        <v>-92.897989480018182</v>
      </c>
      <c r="L20" s="17">
        <v>0.67627565782253718</v>
      </c>
      <c r="M20" s="3">
        <v>0</v>
      </c>
      <c r="N20" s="3">
        <f t="shared" ca="1" si="0"/>
        <v>92.897971172356336</v>
      </c>
      <c r="O20" s="3">
        <f t="shared" ca="1" si="3"/>
        <v>-92.897971172356336</v>
      </c>
      <c r="P20" s="8">
        <f t="shared" ca="1" si="4"/>
        <v>0.67627657320562951</v>
      </c>
      <c r="Q20" s="8">
        <f t="shared" ca="1" si="1"/>
        <v>35.140361181713729</v>
      </c>
      <c r="R20" s="14">
        <f t="shared" ca="1" si="5"/>
        <v>956.59642648039289</v>
      </c>
      <c r="S20" s="13"/>
      <c r="T20" s="9"/>
      <c r="U20" s="9"/>
      <c r="V20" s="3"/>
      <c r="W20" s="9"/>
      <c r="X20" s="9">
        <v>163.98410448846897</v>
      </c>
      <c r="Y20" s="9">
        <v>1443.8563996117207</v>
      </c>
      <c r="Z20" s="9">
        <v>2914.4117371004932</v>
      </c>
      <c r="AA20" s="9">
        <v>4297.0710219834136</v>
      </c>
      <c r="AB20" s="9">
        <v>5879.7759432382654</v>
      </c>
      <c r="AC20" s="9">
        <v>7444.9207435453618</v>
      </c>
      <c r="AD20" s="9">
        <v>6407.9368751625234</v>
      </c>
      <c r="AE20" s="9">
        <v>5307.867939723571</v>
      </c>
      <c r="AF20" s="9">
        <v>4017.7751952568046</v>
      </c>
      <c r="AG20" s="9">
        <v>2481.0783690441331</v>
      </c>
      <c r="AH20" s="9">
        <v>956.59644125970055</v>
      </c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s="1" customFormat="1" x14ac:dyDescent="0.35">
      <c r="A21" s="23" t="s">
        <v>30</v>
      </c>
      <c r="B21" s="35">
        <v>-93.51604271375102</v>
      </c>
      <c r="C21" s="37"/>
      <c r="D21" s="6">
        <v>0.47500000000000003</v>
      </c>
      <c r="E21" s="6">
        <f t="shared" si="2"/>
        <v>54.848275009384793</v>
      </c>
      <c r="F21" s="15">
        <v>0.2</v>
      </c>
      <c r="G21" s="16">
        <v>0.5</v>
      </c>
      <c r="H21" s="15">
        <v>0.05</v>
      </c>
      <c r="I21" s="15">
        <v>0.4</v>
      </c>
      <c r="J21" s="15">
        <v>1</v>
      </c>
      <c r="K21" s="17">
        <v>-92.848063372601885</v>
      </c>
      <c r="L21" s="17">
        <v>0.66033786952050022</v>
      </c>
      <c r="M21" s="3">
        <v>0</v>
      </c>
      <c r="N21" s="3">
        <f t="shared" ca="1" si="0"/>
        <v>92.848044881087219</v>
      </c>
      <c r="O21" s="3">
        <f t="shared" ca="1" si="3"/>
        <v>-92.848044881087219</v>
      </c>
      <c r="P21" s="8">
        <f t="shared" ca="1" si="4"/>
        <v>0.66033879409623353</v>
      </c>
      <c r="Q21" s="8">
        <f t="shared" ca="1" si="1"/>
        <v>36.218443777955734</v>
      </c>
      <c r="R21" s="14">
        <f t="shared" ca="1" si="5"/>
        <v>1040.4552314400623</v>
      </c>
      <c r="S21" s="13"/>
      <c r="T21" s="9"/>
      <c r="U21" s="9"/>
      <c r="V21" s="3"/>
      <c r="W21" s="9"/>
      <c r="X21" s="9">
        <v>170.43619794930262</v>
      </c>
      <c r="Y21" s="9">
        <v>1416.566191634869</v>
      </c>
      <c r="Z21" s="9">
        <v>2863.0502495280011</v>
      </c>
      <c r="AA21" s="9">
        <v>4217.6326166715653</v>
      </c>
      <c r="AB21" s="9">
        <v>5785.4661445357797</v>
      </c>
      <c r="AC21" s="9">
        <v>7350.6109448428761</v>
      </c>
      <c r="AD21" s="9">
        <v>6357.1467282773801</v>
      </c>
      <c r="AE21" s="9">
        <v>5303.2679166952903</v>
      </c>
      <c r="AF21" s="9">
        <v>4066.7452353979393</v>
      </c>
      <c r="AG21" s="9">
        <v>2553.5960376921021</v>
      </c>
      <c r="AH21" s="9">
        <v>1040.4552414250213</v>
      </c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s="1" customFormat="1" x14ac:dyDescent="0.35">
      <c r="A22" s="20" t="s">
        <v>28</v>
      </c>
      <c r="B22" s="24">
        <f>MIN(1,IF($O$42&gt;0,0,IF($O$42&lt;=$B$21,(-$O$42/$B$18)^$B$19,IF($O$42&gt;$B$21*(1-$B$20),0,(($O$42-$B$21*(1-$B$20))/($B$21*$B$20))*((-$B$21/$B$18)^$B$19)))))</f>
        <v>0.68906108070746908</v>
      </c>
      <c r="C22" s="37"/>
      <c r="D22" s="6">
        <v>0.5</v>
      </c>
      <c r="E22" s="6">
        <f t="shared" si="2"/>
        <v>57.735026325668201</v>
      </c>
      <c r="F22" s="15">
        <v>0.2</v>
      </c>
      <c r="G22" s="16">
        <v>0.5</v>
      </c>
      <c r="H22" s="15">
        <v>0.05</v>
      </c>
      <c r="I22" s="15">
        <v>0.4</v>
      </c>
      <c r="J22" s="15">
        <v>1</v>
      </c>
      <c r="K22" s="17">
        <v>-92.79388814869445</v>
      </c>
      <c r="L22" s="17">
        <v>0.64483415757656459</v>
      </c>
      <c r="M22" s="3">
        <v>0</v>
      </c>
      <c r="N22" s="3">
        <f t="shared" ca="1" si="0"/>
        <v>92.793873419595542</v>
      </c>
      <c r="O22" s="3">
        <f t="shared" ca="1" si="3"/>
        <v>-92.793873419595542</v>
      </c>
      <c r="P22" s="8">
        <f t="shared" ca="1" si="4"/>
        <v>0.64483489403150995</v>
      </c>
      <c r="Q22" s="8">
        <f t="shared" ca="1" si="1"/>
        <v>37.229559582618691</v>
      </c>
      <c r="R22" s="14">
        <f t="shared" ca="1" si="5"/>
        <v>1126.4032348006367</v>
      </c>
      <c r="S22" s="13"/>
      <c r="T22" s="9"/>
      <c r="U22" s="9"/>
      <c r="V22" s="3"/>
      <c r="W22" s="9"/>
      <c r="X22" s="9">
        <v>176.75510645043545</v>
      </c>
      <c r="Y22" s="9">
        <v>1388.7049637820869</v>
      </c>
      <c r="Z22" s="9">
        <v>2809.0400998762361</v>
      </c>
      <c r="AA22" s="9">
        <v>4134.402277221483</v>
      </c>
      <c r="AB22" s="9">
        <v>5685.3828432007267</v>
      </c>
      <c r="AC22" s="9">
        <v>7250.5276435078231</v>
      </c>
      <c r="AD22" s="9">
        <v>6300.6490741782309</v>
      </c>
      <c r="AE22" s="9">
        <v>5293.03021878053</v>
      </c>
      <c r="AF22" s="9">
        <v>4110.3788789285481</v>
      </c>
      <c r="AG22" s="9">
        <v>2628.0174351368605</v>
      </c>
      <c r="AH22" s="9">
        <v>1126.4032408084054</v>
      </c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s="1" customFormat="1" x14ac:dyDescent="0.35">
      <c r="A23" s="20"/>
      <c r="B23" s="20"/>
      <c r="C23" s="37"/>
      <c r="D23" s="6">
        <v>0.52500000000000002</v>
      </c>
      <c r="E23" s="6">
        <f t="shared" si="2"/>
        <v>60.621777641951617</v>
      </c>
      <c r="F23" s="15">
        <v>0.2</v>
      </c>
      <c r="G23" s="16">
        <v>0.5</v>
      </c>
      <c r="H23" s="15">
        <v>0.05</v>
      </c>
      <c r="I23" s="15">
        <v>0.4</v>
      </c>
      <c r="J23" s="15">
        <v>1</v>
      </c>
      <c r="K23" s="17">
        <v>-92.735369731536565</v>
      </c>
      <c r="L23" s="17">
        <v>0.62978192919504827</v>
      </c>
      <c r="M23" s="3">
        <v>0</v>
      </c>
      <c r="N23" s="3">
        <f t="shared" ca="1" si="0"/>
        <v>92.735355555437579</v>
      </c>
      <c r="O23" s="3">
        <f t="shared" ca="1" si="3"/>
        <v>-92.735355555437579</v>
      </c>
      <c r="P23" s="8">
        <f t="shared" ca="1" si="4"/>
        <v>0.62978263799999756</v>
      </c>
      <c r="Q23" s="8">
        <f t="shared" ca="1" si="1"/>
        <v>38.178543043597564</v>
      </c>
      <c r="R23" s="14">
        <f t="shared" ca="1" si="5"/>
        <v>1214.311337426853</v>
      </c>
      <c r="S23" s="13"/>
      <c r="T23" s="9"/>
      <c r="U23" s="9"/>
      <c r="V23" s="3"/>
      <c r="W23" s="9"/>
      <c r="X23" s="9">
        <v>182.9684712741996</v>
      </c>
      <c r="Y23" s="9">
        <v>1360.403995313402</v>
      </c>
      <c r="Z23" s="9">
        <v>2752.4486322586313</v>
      </c>
      <c r="AA23" s="9">
        <v>4047.4775886346742</v>
      </c>
      <c r="AB23" s="9">
        <v>5579.5260392331065</v>
      </c>
      <c r="AC23" s="9">
        <v>7144.6708395402029</v>
      </c>
      <c r="AD23" s="9">
        <v>6238.3104719908233</v>
      </c>
      <c r="AE23" s="9">
        <v>5276.8801581041553</v>
      </c>
      <c r="AF23" s="9">
        <v>4148.2479691311109</v>
      </c>
      <c r="AG23" s="9">
        <v>2704.2541880926692</v>
      </c>
      <c r="AH23" s="9">
        <v>1214.3113403125215</v>
      </c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s="1" customFormat="1" x14ac:dyDescent="0.35">
      <c r="A24" s="24" t="s">
        <v>23</v>
      </c>
      <c r="B24" s="36">
        <f ca="1">$R$42-($B$22*$B$17)</f>
        <v>3.1493352039888123E-2</v>
      </c>
      <c r="C24" s="37"/>
      <c r="D24" s="6">
        <v>0.55000000000000004</v>
      </c>
      <c r="E24" s="6">
        <f t="shared" si="2"/>
        <v>63.508528958235026</v>
      </c>
      <c r="F24" s="15">
        <v>0.2</v>
      </c>
      <c r="G24" s="16">
        <v>0.5</v>
      </c>
      <c r="H24" s="15">
        <v>0.05</v>
      </c>
      <c r="I24" s="15">
        <v>0.4</v>
      </c>
      <c r="J24" s="15">
        <v>1</v>
      </c>
      <c r="K24" s="17">
        <v>-92.672408127013583</v>
      </c>
      <c r="L24" s="17">
        <v>0.61520273451462526</v>
      </c>
      <c r="M24" s="3">
        <v>0</v>
      </c>
      <c r="N24" s="3">
        <f t="shared" ca="1" si="0"/>
        <v>92.672396258661195</v>
      </c>
      <c r="O24" s="3">
        <f t="shared" ca="1" si="3"/>
        <v>-92.672396258661195</v>
      </c>
      <c r="P24" s="8">
        <f t="shared" ca="1" si="4"/>
        <v>0.61520332793224464</v>
      </c>
      <c r="Q24" s="8">
        <f t="shared" ca="1" si="1"/>
        <v>39.070658367187519</v>
      </c>
      <c r="R24" s="14">
        <f t="shared" ca="1" si="5"/>
        <v>1304.060538837638</v>
      </c>
      <c r="S24" s="13"/>
      <c r="T24" s="9"/>
      <c r="U24" s="9"/>
      <c r="V24" s="3"/>
      <c r="W24" s="9"/>
      <c r="X24" s="9">
        <v>189.10608364144372</v>
      </c>
      <c r="Y24" s="9">
        <v>1331.7907742557759</v>
      </c>
      <c r="Z24" s="9">
        <v>2693.3404300380384</v>
      </c>
      <c r="AA24" s="9">
        <v>3956.951967831174</v>
      </c>
      <c r="AB24" s="9">
        <v>5467.89573263292</v>
      </c>
      <c r="AC24" s="9">
        <v>7033.0405329400164</v>
      </c>
      <c r="AD24" s="9">
        <v>6170.0123313269814</v>
      </c>
      <c r="AE24" s="9">
        <v>5254.5741549668146</v>
      </c>
      <c r="AF24" s="9">
        <v>4179.9712402220739</v>
      </c>
      <c r="AG24" s="9">
        <v>2782.2274744387605</v>
      </c>
      <c r="AH24" s="9">
        <v>1304.0605395716982</v>
      </c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s="1" customFormat="1" x14ac:dyDescent="0.35">
      <c r="A25" s="20"/>
      <c r="B25" s="20"/>
      <c r="C25" s="37"/>
      <c r="D25" s="6">
        <v>0.57500000000000007</v>
      </c>
      <c r="E25" s="6">
        <f t="shared" si="2"/>
        <v>66.395280274518441</v>
      </c>
      <c r="F25" s="15">
        <v>0.2</v>
      </c>
      <c r="G25" s="16">
        <v>0.5</v>
      </c>
      <c r="H25" s="15">
        <v>0.05</v>
      </c>
      <c r="I25" s="15">
        <v>0.4</v>
      </c>
      <c r="J25" s="15">
        <v>1</v>
      </c>
      <c r="K25" s="17">
        <v>-92.604916450792714</v>
      </c>
      <c r="L25" s="17">
        <v>0.60090996645701156</v>
      </c>
      <c r="M25" s="3">
        <v>0</v>
      </c>
      <c r="N25" s="3">
        <f t="shared" ca="1" si="0"/>
        <v>92.604906524908102</v>
      </c>
      <c r="O25" s="3">
        <f t="shared" ca="1" si="3"/>
        <v>-92.604906524908102</v>
      </c>
      <c r="P25" s="8">
        <f t="shared" ca="1" si="4"/>
        <v>0.60091046275124216</v>
      </c>
      <c r="Q25" s="8">
        <f t="shared" ca="1" si="1"/>
        <v>39.897618594259299</v>
      </c>
      <c r="R25" s="14">
        <f t="shared" ca="1" si="5"/>
        <v>1395.5288157990849</v>
      </c>
      <c r="S25" s="13"/>
      <c r="T25" s="9"/>
      <c r="U25" s="9"/>
      <c r="V25" s="3"/>
      <c r="W25" s="9"/>
      <c r="X25" s="9">
        <v>195.19870792714102</v>
      </c>
      <c r="Y25" s="9">
        <v>1302.9878469432006</v>
      </c>
      <c r="Z25" s="9">
        <v>2631.7769293206497</v>
      </c>
      <c r="AA25" s="9">
        <v>3862.9143581772046</v>
      </c>
      <c r="AB25" s="9">
        <v>5350.4919234001663</v>
      </c>
      <c r="AC25" s="9">
        <v>6915.6367237072627</v>
      </c>
      <c r="AD25" s="9">
        <v>6095.6518632489951</v>
      </c>
      <c r="AE25" s="9">
        <v>5225.9005160046017</v>
      </c>
      <c r="AF25" s="9">
        <v>4205.1220810601935</v>
      </c>
      <c r="AG25" s="9">
        <v>2861.8549239239064</v>
      </c>
      <c r="AH25" s="9">
        <v>1395.5288148787888</v>
      </c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s="1" customFormat="1" x14ac:dyDescent="0.35">
      <c r="A26" s="38"/>
      <c r="B26" s="38"/>
      <c r="C26" s="37"/>
      <c r="D26" s="6">
        <v>0.60000000000000009</v>
      </c>
      <c r="E26" s="6">
        <f t="shared" si="2"/>
        <v>69.28203159080185</v>
      </c>
      <c r="F26" s="15">
        <v>0.2</v>
      </c>
      <c r="G26" s="16">
        <v>0.5</v>
      </c>
      <c r="H26" s="15">
        <v>0.05</v>
      </c>
      <c r="I26" s="15">
        <v>0.4</v>
      </c>
      <c r="J26" s="15">
        <v>1</v>
      </c>
      <c r="K26" s="17">
        <v>-92.532812532915969</v>
      </c>
      <c r="L26" s="17">
        <v>0.58703997720181256</v>
      </c>
      <c r="M26" s="3">
        <v>0</v>
      </c>
      <c r="N26" s="3">
        <f t="shared" ca="1" si="0"/>
        <v>92.532803359898878</v>
      </c>
      <c r="O26" s="3">
        <f t="shared" ca="1" si="3"/>
        <v>-92.532803359898878</v>
      </c>
      <c r="P26" s="8">
        <f t="shared" ca="1" si="4"/>
        <v>0.58704043585266708</v>
      </c>
      <c r="Q26" s="8">
        <f t="shared" ca="1" si="1"/>
        <v>40.671354021822566</v>
      </c>
      <c r="R26" s="14">
        <f t="shared" ca="1" si="5"/>
        <v>1488.5977884151669</v>
      </c>
      <c r="S26" s="13"/>
      <c r="T26" s="9"/>
      <c r="U26" s="9"/>
      <c r="V26" s="3"/>
      <c r="W26" s="9"/>
      <c r="X26" s="9">
        <v>201.27749918480069</v>
      </c>
      <c r="Y26" s="9">
        <v>1274.1124359786438</v>
      </c>
      <c r="Z26" s="9">
        <v>2567.8161094752118</v>
      </c>
      <c r="AA26" s="9">
        <v>3765.4485879764802</v>
      </c>
      <c r="AB26" s="9">
        <v>5227.3146115348463</v>
      </c>
      <c r="AC26" s="9">
        <v>6792.4594118419427</v>
      </c>
      <c r="AD26" s="9">
        <v>6015.141077284422</v>
      </c>
      <c r="AE26" s="9">
        <v>5190.677975028776</v>
      </c>
      <c r="AF26" s="9">
        <v>4223.2812476303434</v>
      </c>
      <c r="AG26" s="9">
        <v>2943.0572186987383</v>
      </c>
      <c r="AH26" s="9">
        <v>1488.5977863093665</v>
      </c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s="1" customFormat="1" x14ac:dyDescent="0.35">
      <c r="A27" s="25"/>
      <c r="B27" s="25"/>
      <c r="C27" s="37"/>
      <c r="D27" s="6">
        <v>0.625</v>
      </c>
      <c r="E27" s="6">
        <f t="shared" si="2"/>
        <v>72.168782907085259</v>
      </c>
      <c r="F27" s="15">
        <v>0.2</v>
      </c>
      <c r="G27" s="16">
        <v>0.5</v>
      </c>
      <c r="H27" s="15">
        <v>0.05</v>
      </c>
      <c r="I27" s="15">
        <v>0.4</v>
      </c>
      <c r="J27" s="15">
        <v>1</v>
      </c>
      <c r="K27" s="17">
        <v>-92.456016525205442</v>
      </c>
      <c r="L27" s="17">
        <v>0.5741374207203257</v>
      </c>
      <c r="M27" s="3">
        <v>0</v>
      </c>
      <c r="N27" s="3">
        <f t="shared" ca="1" si="0"/>
        <v>92.456008315995831</v>
      </c>
      <c r="O27" s="3">
        <f t="shared" ca="1" si="3"/>
        <v>-92.456008315995831</v>
      </c>
      <c r="P27" s="8">
        <f t="shared" ca="1" si="4"/>
        <v>0.57413783118080619</v>
      </c>
      <c r="Q27" s="8">
        <f t="shared" ca="1" si="1"/>
        <v>41.434828497232367</v>
      </c>
      <c r="R27" s="14">
        <f t="shared" ca="1" si="5"/>
        <v>1583.2039709342218</v>
      </c>
      <c r="S27" s="13"/>
      <c r="T27" s="9"/>
      <c r="U27" s="9"/>
      <c r="V27" s="3"/>
      <c r="W27" s="9"/>
      <c r="X27" s="9">
        <v>207.37436634922557</v>
      </c>
      <c r="Y27" s="9">
        <v>1245.2768837698723</v>
      </c>
      <c r="Z27" s="9">
        <v>2501.512524206647</v>
      </c>
      <c r="AA27" s="9">
        <v>3664.633628464027</v>
      </c>
      <c r="AB27" s="9">
        <v>5098.3637970369591</v>
      </c>
      <c r="AC27" s="9">
        <v>6663.5085973440555</v>
      </c>
      <c r="AD27" s="9">
        <v>5928.4062970197974</v>
      </c>
      <c r="AE27" s="9">
        <v>5148.7545755561214</v>
      </c>
      <c r="AF27" s="9">
        <v>4234.1680577198504</v>
      </c>
      <c r="AG27" s="9">
        <v>3021.827997283734</v>
      </c>
      <c r="AH27" s="9">
        <v>1583.2039678006722</v>
      </c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s="1" customFormat="1" x14ac:dyDescent="0.35">
      <c r="A28" s="25"/>
      <c r="B28" s="25"/>
      <c r="C28" s="37"/>
      <c r="D28" s="6">
        <v>0.65</v>
      </c>
      <c r="E28" s="6">
        <f t="shared" si="2"/>
        <v>75.055534223368667</v>
      </c>
      <c r="F28" s="15">
        <v>0.2</v>
      </c>
      <c r="G28" s="16">
        <v>0.5</v>
      </c>
      <c r="H28" s="15">
        <v>0.05</v>
      </c>
      <c r="I28" s="15">
        <v>0.4</v>
      </c>
      <c r="J28" s="15">
        <v>1</v>
      </c>
      <c r="K28" s="17">
        <v>-92.374452817932664</v>
      </c>
      <c r="L28" s="17">
        <v>0.56170835887521797</v>
      </c>
      <c r="M28" s="3">
        <v>0</v>
      </c>
      <c r="N28" s="3">
        <f t="shared" ca="1" si="0"/>
        <v>92.374445763117649</v>
      </c>
      <c r="O28" s="3">
        <f t="shared" ca="1" si="3"/>
        <v>-92.374445763117649</v>
      </c>
      <c r="P28" s="8">
        <f t="shared" ca="1" si="4"/>
        <v>0.56170871161596869</v>
      </c>
      <c r="Q28" s="8">
        <f t="shared" ca="1" si="1"/>
        <v>42.159347428256659</v>
      </c>
      <c r="R28" s="14">
        <f t="shared" ca="1" si="5"/>
        <v>1679.2981468597109</v>
      </c>
      <c r="S28" s="13"/>
      <c r="T28" s="9"/>
      <c r="U28" s="9"/>
      <c r="V28" s="3"/>
      <c r="W28" s="9"/>
      <c r="X28" s="9">
        <v>213.5219540852253</v>
      </c>
      <c r="Y28" s="9">
        <v>1216.5926128216706</v>
      </c>
      <c r="Z28" s="9">
        <v>2432.9181003381473</v>
      </c>
      <c r="AA28" s="9">
        <v>3560.5442170585493</v>
      </c>
      <c r="AB28" s="9">
        <v>4963.6394799065056</v>
      </c>
      <c r="AC28" s="9">
        <v>6528.784280213602</v>
      </c>
      <c r="AD28" s="9">
        <v>5835.3878671326811</v>
      </c>
      <c r="AE28" s="9">
        <v>5100.0070018086471</v>
      </c>
      <c r="AF28" s="9">
        <v>4237.5861899644406</v>
      </c>
      <c r="AG28" s="9">
        <v>3093.3528538711384</v>
      </c>
      <c r="AH28" s="9">
        <v>1679.2981431313581</v>
      </c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s="1" customFormat="1" x14ac:dyDescent="0.35">
      <c r="A29" s="25"/>
      <c r="B29" s="25"/>
      <c r="C29" s="37"/>
      <c r="D29" s="6">
        <v>0.67500000000000004</v>
      </c>
      <c r="E29" s="6">
        <f t="shared" si="2"/>
        <v>77.942285539652076</v>
      </c>
      <c r="F29" s="15">
        <v>0.2</v>
      </c>
      <c r="G29" s="16">
        <v>0.5</v>
      </c>
      <c r="H29" s="15">
        <v>0.05</v>
      </c>
      <c r="I29" s="15">
        <v>0.4</v>
      </c>
      <c r="J29" s="15">
        <v>1</v>
      </c>
      <c r="K29" s="17">
        <v>-92.288047990535588</v>
      </c>
      <c r="L29" s="17">
        <v>0.54983088823605974</v>
      </c>
      <c r="M29" s="3">
        <v>0</v>
      </c>
      <c r="N29" s="3">
        <f t="shared" ca="1" si="0"/>
        <v>92.288042994754136</v>
      </c>
      <c r="O29" s="3">
        <f t="shared" ca="1" si="3"/>
        <v>-92.288042994754136</v>
      </c>
      <c r="P29" s="8">
        <f t="shared" ca="1" si="4"/>
        <v>0.54983113802513239</v>
      </c>
      <c r="Q29" s="8">
        <f t="shared" ca="1" si="1"/>
        <v>42.855095558546722</v>
      </c>
      <c r="R29" s="14">
        <f t="shared" ca="1" si="5"/>
        <v>1776.8125898465141</v>
      </c>
      <c r="S29" s="13"/>
      <c r="T29" s="9"/>
      <c r="U29" s="9"/>
      <c r="V29" s="3"/>
      <c r="W29" s="9"/>
      <c r="X29" s="9">
        <v>219.75430724260059</v>
      </c>
      <c r="Y29" s="9">
        <v>1188.1828410616479</v>
      </c>
      <c r="Z29" s="9">
        <v>2362.0851006493399</v>
      </c>
      <c r="AA29" s="9">
        <v>3453.2535110584527</v>
      </c>
      <c r="AB29" s="9">
        <v>4823.1416601434848</v>
      </c>
      <c r="AC29" s="9">
        <v>6388.2864604505812</v>
      </c>
      <c r="AD29" s="9">
        <v>5736.0387568773831</v>
      </c>
      <c r="AE29" s="9">
        <v>5044.3372270872806</v>
      </c>
      <c r="AF29" s="9">
        <v>4233.3813171747297</v>
      </c>
      <c r="AG29" s="9">
        <v>3156.6802890959643</v>
      </c>
      <c r="AH29" s="9">
        <v>1776.812585834422</v>
      </c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s="1" customFormat="1" x14ac:dyDescent="0.35">
      <c r="A30" s="25"/>
      <c r="B30" s="25"/>
      <c r="C30" s="37"/>
      <c r="D30" s="6">
        <v>0.70000000000000007</v>
      </c>
      <c r="E30" s="6">
        <f t="shared" si="2"/>
        <v>80.829036855935499</v>
      </c>
      <c r="F30" s="15">
        <v>0.2</v>
      </c>
      <c r="G30" s="16">
        <v>0.5</v>
      </c>
      <c r="H30" s="15">
        <v>0.05</v>
      </c>
      <c r="I30" s="15">
        <v>0.4</v>
      </c>
      <c r="J30" s="15">
        <v>1</v>
      </c>
      <c r="K30" s="17">
        <v>-92.19673333540554</v>
      </c>
      <c r="L30" s="17">
        <v>0.53853323184828106</v>
      </c>
      <c r="M30" s="3">
        <v>0</v>
      </c>
      <c r="N30" s="3">
        <f t="shared" ca="1" si="0"/>
        <v>92.196730259544267</v>
      </c>
      <c r="O30" s="3">
        <f t="shared" ca="1" si="3"/>
        <v>-92.196730259544267</v>
      </c>
      <c r="P30" s="8">
        <f t="shared" ca="1" si="4"/>
        <v>0.53853338564134468</v>
      </c>
      <c r="Q30" s="8">
        <f t="shared" ca="1" si="1"/>
        <v>43.529134876155972</v>
      </c>
      <c r="R30" s="14">
        <f t="shared" ca="1" si="5"/>
        <v>1875.6968202812168</v>
      </c>
      <c r="S30" s="13"/>
      <c r="T30" s="9"/>
      <c r="U30" s="9"/>
      <c r="V30" s="3"/>
      <c r="W30" s="9"/>
      <c r="X30" s="9">
        <v>226.10695381875408</v>
      </c>
      <c r="Y30" s="9">
        <v>1160.1629337214335</v>
      </c>
      <c r="Z30" s="9">
        <v>2289.0611894917847</v>
      </c>
      <c r="AA30" s="9">
        <v>3342.8286083338339</v>
      </c>
      <c r="AB30" s="9">
        <v>4676.8703377478969</v>
      </c>
      <c r="AC30" s="9">
        <v>6242.0151380549933</v>
      </c>
      <c r="AD30" s="9">
        <v>5630.326510087204</v>
      </c>
      <c r="AE30" s="9">
        <v>4981.6774622259418</v>
      </c>
      <c r="AF30" s="9">
        <v>4221.4454705293929</v>
      </c>
      <c r="AG30" s="9">
        <v>3211.6266588822118</v>
      </c>
      <c r="AH30" s="9">
        <v>1875.6968164629664</v>
      </c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</row>
    <row r="31" spans="1:47" s="1" customFormat="1" x14ac:dyDescent="0.35">
      <c r="A31" s="25"/>
      <c r="B31" s="25"/>
      <c r="C31" s="37"/>
      <c r="D31" s="6">
        <v>0.72500000000000009</v>
      </c>
      <c r="E31" s="6">
        <f t="shared" si="2"/>
        <v>83.715788172218907</v>
      </c>
      <c r="F31" s="15">
        <v>0.2</v>
      </c>
      <c r="G31" s="16">
        <v>0.5</v>
      </c>
      <c r="H31" s="15">
        <v>0.05</v>
      </c>
      <c r="I31" s="15">
        <v>0.4</v>
      </c>
      <c r="J31" s="15">
        <v>1</v>
      </c>
      <c r="K31" s="17">
        <v>-92.100441522232174</v>
      </c>
      <c r="L31" s="17">
        <v>0.52782340229828717</v>
      </c>
      <c r="M31" s="3">
        <v>0</v>
      </c>
      <c r="N31" s="3">
        <f t="shared" ca="1" si="0"/>
        <v>92.100440011230745</v>
      </c>
      <c r="O31" s="3">
        <f t="shared" ca="1" si="3"/>
        <v>-92.100440011230745</v>
      </c>
      <c r="P31" s="8">
        <f t="shared" ca="1" si="4"/>
        <v>0.52782347784835859</v>
      </c>
      <c r="Q31" s="8">
        <f t="shared" ca="1" si="1"/>
        <v>44.187158463877068</v>
      </c>
      <c r="R31" s="14">
        <f t="shared" ca="1" si="5"/>
        <v>1975.9131136212497</v>
      </c>
      <c r="S31" s="13"/>
      <c r="T31" s="9"/>
      <c r="U31" s="9"/>
      <c r="V31" s="3"/>
      <c r="W31" s="9"/>
      <c r="X31" s="9">
        <v>232.61666047617575</v>
      </c>
      <c r="Y31" s="9">
        <v>1132.628087781002</v>
      </c>
      <c r="Z31" s="9">
        <v>2213.8859994677987</v>
      </c>
      <c r="AA31" s="9">
        <v>3229.3304698267712</v>
      </c>
      <c r="AB31" s="9">
        <v>4524.8255127197426</v>
      </c>
      <c r="AC31" s="9">
        <v>6089.970313026839</v>
      </c>
      <c r="AD31" s="9">
        <v>5518.2308042805726</v>
      </c>
      <c r="AE31" s="9">
        <v>4911.9859226707631</v>
      </c>
      <c r="AF31" s="9">
        <v>4201.711313909349</v>
      </c>
      <c r="AG31" s="9">
        <v>3258.0660820456483</v>
      </c>
      <c r="AH31" s="9">
        <v>1975.9131100632085</v>
      </c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</row>
    <row r="32" spans="1:47" s="1" customFormat="1" x14ac:dyDescent="0.35">
      <c r="A32" s="25"/>
      <c r="B32" s="25"/>
      <c r="C32" s="37"/>
      <c r="D32" s="6">
        <v>0.75</v>
      </c>
      <c r="E32" s="6">
        <f t="shared" si="2"/>
        <v>86.602539488502302</v>
      </c>
      <c r="F32" s="15">
        <v>0.2</v>
      </c>
      <c r="G32" s="16">
        <v>0.5</v>
      </c>
      <c r="H32" s="15">
        <v>0.05</v>
      </c>
      <c r="I32" s="15">
        <v>0.4</v>
      </c>
      <c r="J32" s="15">
        <v>1</v>
      </c>
      <c r="K32" s="17">
        <v>-91.999106507888754</v>
      </c>
      <c r="L32" s="17">
        <v>0.51768904373273306</v>
      </c>
      <c r="M32" s="3">
        <v>0</v>
      </c>
      <c r="N32" s="3">
        <f t="shared" ca="1" si="0"/>
        <v>91.999106346950569</v>
      </c>
      <c r="O32" s="3">
        <f t="shared" ca="1" si="3"/>
        <v>-91.999106346950569</v>
      </c>
      <c r="P32" s="8">
        <f t="shared" ca="1" si="4"/>
        <v>0.51768905177964231</v>
      </c>
      <c r="Q32" s="8">
        <f t="shared" ca="1" si="1"/>
        <v>44.833186549511787</v>
      </c>
      <c r="R32" s="14">
        <f t="shared" ca="1" si="5"/>
        <v>2077.4334586346386</v>
      </c>
      <c r="S32" s="13"/>
      <c r="T32" s="9"/>
      <c r="U32" s="9"/>
      <c r="V32" s="3"/>
      <c r="W32" s="9"/>
      <c r="X32" s="9">
        <v>239.32138881179634</v>
      </c>
      <c r="Y32" s="9">
        <v>1105.6692712638933</v>
      </c>
      <c r="Z32" s="9">
        <v>2136.5950624554248</v>
      </c>
      <c r="AA32" s="9">
        <v>3112.8141847856155</v>
      </c>
      <c r="AB32" s="9">
        <v>4367.0071850590211</v>
      </c>
      <c r="AC32" s="9">
        <v>5932.1519853661175</v>
      </c>
      <c r="AD32" s="9">
        <v>5399.7681788562595</v>
      </c>
      <c r="AE32" s="9">
        <v>4835.2694060386302</v>
      </c>
      <c r="AF32" s="9">
        <v>4174.1748394935848</v>
      </c>
      <c r="AG32" s="9">
        <v>3295.9013934603531</v>
      </c>
      <c r="AH32" s="9">
        <v>2077.4334553982972</v>
      </c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</row>
    <row r="33" spans="1:47" x14ac:dyDescent="0.35">
      <c r="A33" s="25"/>
      <c r="B33" s="25"/>
      <c r="C33" s="37"/>
      <c r="D33" s="6">
        <v>0.77500000000000002</v>
      </c>
      <c r="E33" s="6">
        <f t="shared" si="2"/>
        <v>89.489290804785711</v>
      </c>
      <c r="F33" s="15">
        <v>0.2</v>
      </c>
      <c r="G33" s="16">
        <v>0.5</v>
      </c>
      <c r="H33" s="15">
        <v>0.05</v>
      </c>
      <c r="I33" s="15">
        <v>0.4</v>
      </c>
      <c r="J33" s="15">
        <v>1</v>
      </c>
      <c r="K33" s="17">
        <v>-91.892665470193293</v>
      </c>
      <c r="L33" s="17">
        <v>0.5081056055699551</v>
      </c>
      <c r="M33" s="3">
        <v>0</v>
      </c>
      <c r="N33" s="3">
        <f t="shared" ca="1" si="0"/>
        <v>91.892664594019436</v>
      </c>
      <c r="O33" s="3">
        <f ca="1">M33-N33</f>
        <v>-91.892664594019436</v>
      </c>
      <c r="P33" s="8">
        <f t="shared" ca="1" si="4"/>
        <v>0.50810564937864799</v>
      </c>
      <c r="Q33" s="8">
        <f t="shared" ca="1" si="1"/>
        <v>45.470014216800315</v>
      </c>
      <c r="R33" s="14">
        <f t="shared" ca="1" si="5"/>
        <v>2180.2366594009509</v>
      </c>
      <c r="S33" s="11"/>
      <c r="X33" s="9">
        <v>246.26055957896591</v>
      </c>
      <c r="Y33" s="9">
        <v>1079.3736358985611</v>
      </c>
      <c r="Z33" s="9">
        <v>2057.2196484819929</v>
      </c>
      <c r="AA33" s="9">
        <v>2993.3249954049238</v>
      </c>
      <c r="AB33" s="9">
        <v>4203.4153547657334</v>
      </c>
      <c r="AC33" s="9">
        <v>5768.5601550728297</v>
      </c>
      <c r="AD33" s="9">
        <v>5274.9734051401419</v>
      </c>
      <c r="AE33" s="9">
        <v>4751.5827671167599</v>
      </c>
      <c r="AF33" s="9">
        <v>4138.8962733117378</v>
      </c>
      <c r="AG33" s="9">
        <v>3325.0360958238157</v>
      </c>
      <c r="AH33" s="9">
        <v>2180.2366564004642</v>
      </c>
    </row>
    <row r="34" spans="1:47" x14ac:dyDescent="0.35">
      <c r="A34" s="25"/>
      <c r="B34" s="25"/>
      <c r="C34" s="37"/>
      <c r="D34" s="6">
        <v>0.8</v>
      </c>
      <c r="E34" s="6">
        <f t="shared" si="2"/>
        <v>92.376042121069133</v>
      </c>
      <c r="F34" s="15">
        <v>0.2</v>
      </c>
      <c r="G34" s="16">
        <v>0.5</v>
      </c>
      <c r="H34" s="15">
        <v>0.05</v>
      </c>
      <c r="I34" s="15">
        <v>0.4</v>
      </c>
      <c r="J34" s="15">
        <v>-1</v>
      </c>
      <c r="K34" s="17">
        <v>-91.781061522165885</v>
      </c>
      <c r="L34" s="17">
        <v>0.49398849755519192</v>
      </c>
      <c r="M34" s="3">
        <v>0</v>
      </c>
      <c r="N34" s="3">
        <f t="shared" ca="1" si="0"/>
        <v>91.781062694234748</v>
      </c>
      <c r="O34" s="3">
        <f t="shared" ca="1" si="3"/>
        <v>-91.781062694234748</v>
      </c>
      <c r="P34" s="8">
        <f t="shared" ca="1" si="4"/>
        <v>0.49398802872764658</v>
      </c>
      <c r="Q34" s="8">
        <f t="shared" ca="1" si="1"/>
        <v>45.632658949048988</v>
      </c>
      <c r="R34" s="14">
        <f t="shared" ca="1" si="5"/>
        <v>2283.8393325668003</v>
      </c>
      <c r="S34" s="11"/>
      <c r="X34" s="9">
        <v>253.47517864193836</v>
      </c>
      <c r="Y34" s="9">
        <v>1053.8248413001661</v>
      </c>
      <c r="Z34" s="9">
        <v>1975.7867661450259</v>
      </c>
      <c r="AA34" s="9">
        <v>2870.901526420841</v>
      </c>
      <c r="AB34" s="9">
        <v>4034.0500218398784</v>
      </c>
      <c r="AC34" s="9">
        <v>5599.1948221469747</v>
      </c>
      <c r="AD34" s="9">
        <v>5143.8667938050367</v>
      </c>
      <c r="AE34" s="9">
        <v>4660.9962794870989</v>
      </c>
      <c r="AF34" s="9">
        <v>4095.9652663169445</v>
      </c>
      <c r="AG34" s="9">
        <v>3345.4898399881281</v>
      </c>
      <c r="AH34" s="9">
        <v>2283.8393299156314</v>
      </c>
    </row>
    <row r="35" spans="1:47" x14ac:dyDescent="0.35">
      <c r="A35" s="25"/>
      <c r="B35" s="25"/>
      <c r="C35" s="37"/>
      <c r="D35" s="6">
        <v>0.82500000000000007</v>
      </c>
      <c r="E35" s="6">
        <f t="shared" si="2"/>
        <v>95.262793437352542</v>
      </c>
      <c r="F35" s="15">
        <v>0.2</v>
      </c>
      <c r="G35" s="16">
        <v>0.5</v>
      </c>
      <c r="H35" s="15">
        <v>0.05</v>
      </c>
      <c r="I35" s="15">
        <v>0.4</v>
      </c>
      <c r="J35" s="15">
        <v>-1</v>
      </c>
      <c r="K35" s="17">
        <v>-91.664455998544824</v>
      </c>
      <c r="L35" s="17">
        <v>0.42974195345229954</v>
      </c>
      <c r="M35" s="3">
        <v>0</v>
      </c>
      <c r="N35" s="3">
        <f t="shared" ca="1" si="0"/>
        <v>91.664393891504531</v>
      </c>
      <c r="O35" s="3">
        <f t="shared" ca="1" si="3"/>
        <v>-91.664393891504531</v>
      </c>
      <c r="P35" s="8">
        <f t="shared" ca="1" si="4"/>
        <v>0.42976679626841668</v>
      </c>
      <c r="Q35" s="8">
        <f t="shared" ca="1" si="1"/>
        <v>40.940785539150951</v>
      </c>
      <c r="R35" s="14">
        <f t="shared" ca="1" si="5"/>
        <v>2382.9127770550003</v>
      </c>
      <c r="S35" s="11"/>
      <c r="X35" s="9">
        <v>261.0078821277757</v>
      </c>
      <c r="Y35" s="9">
        <v>1029.1033148090594</v>
      </c>
      <c r="Z35" s="9">
        <v>1892.3190249419417</v>
      </c>
      <c r="AA35" s="9">
        <v>2745.575911843915</v>
      </c>
      <c r="AB35" s="9">
        <v>3858.9111862814566</v>
      </c>
      <c r="AC35" s="9">
        <v>5424.0559865885534</v>
      </c>
      <c r="AD35" s="9">
        <v>5006.4751674424351</v>
      </c>
      <c r="AE35" s="9">
        <v>4563.5830542926897</v>
      </c>
      <c r="AF35" s="9">
        <v>4045.4866256901232</v>
      </c>
      <c r="AG35" s="9">
        <v>3357.4130617476053</v>
      </c>
      <c r="AH35" s="9">
        <v>2382.9127748110604</v>
      </c>
    </row>
    <row r="36" spans="1:47" x14ac:dyDescent="0.35">
      <c r="A36" s="25"/>
      <c r="B36" s="25"/>
      <c r="C36" s="37"/>
      <c r="D36" s="6">
        <v>0.85000000000000009</v>
      </c>
      <c r="E36" s="6">
        <f t="shared" si="2"/>
        <v>98.149544753635951</v>
      </c>
      <c r="F36" s="15">
        <v>0.2</v>
      </c>
      <c r="G36" s="16">
        <v>0.5</v>
      </c>
      <c r="H36" s="15">
        <v>0.05</v>
      </c>
      <c r="I36" s="15">
        <v>0.4</v>
      </c>
      <c r="J36" s="15">
        <v>-1</v>
      </c>
      <c r="K36" s="17">
        <v>-91.543086298318869</v>
      </c>
      <c r="L36" s="17">
        <v>0.37054779128977267</v>
      </c>
      <c r="M36" s="3">
        <v>0</v>
      </c>
      <c r="N36" s="3">
        <f t="shared" ca="1" si="0"/>
        <v>91.543002923763041</v>
      </c>
      <c r="O36" s="3">
        <f t="shared" ca="1" si="3"/>
        <v>-91.543002923763041</v>
      </c>
      <c r="P36" s="8">
        <f t="shared" ca="1" si="4"/>
        <v>0.37058114111210394</v>
      </c>
      <c r="Q36" s="8">
        <f t="shared" ca="1" si="1"/>
        <v>36.372370294435925</v>
      </c>
      <c r="R36" s="14">
        <f t="shared" ca="1" si="5"/>
        <v>2472.7259328885871</v>
      </c>
      <c r="S36" s="11"/>
      <c r="X36" s="9">
        <v>268.90301116053945</v>
      </c>
      <c r="Y36" s="9">
        <v>1005.2864940252894</v>
      </c>
      <c r="Z36" s="9">
        <v>1806.8345422425637</v>
      </c>
      <c r="AA36" s="9">
        <v>2617.3736714697534</v>
      </c>
      <c r="AB36" s="9">
        <v>3677.9988480904681</v>
      </c>
      <c r="AC36" s="9">
        <v>5243.1436483975649</v>
      </c>
      <c r="AD36" s="9">
        <v>4862.8363402949562</v>
      </c>
      <c r="AE36" s="9">
        <v>4459.4210344470775</v>
      </c>
      <c r="AF36" s="9">
        <v>3987.582531590142</v>
      </c>
      <c r="AG36" s="9">
        <v>3360.9902833597657</v>
      </c>
      <c r="AH36" s="9">
        <v>2472.7259311524808</v>
      </c>
    </row>
    <row r="37" spans="1:47" x14ac:dyDescent="0.35">
      <c r="A37" s="25"/>
      <c r="B37" s="25"/>
      <c r="C37" s="37"/>
      <c r="D37" s="6">
        <v>0.875</v>
      </c>
      <c r="E37" s="6">
        <f t="shared" si="2"/>
        <v>101.03629606991936</v>
      </c>
      <c r="F37" s="15">
        <v>0.2</v>
      </c>
      <c r="G37" s="16">
        <v>0.5</v>
      </c>
      <c r="H37" s="15">
        <v>0.05</v>
      </c>
      <c r="I37" s="15">
        <v>0.4</v>
      </c>
      <c r="J37" s="15">
        <v>-1</v>
      </c>
      <c r="K37" s="17">
        <v>-91.4174261257062</v>
      </c>
      <c r="L37" s="17">
        <v>0.31633386515503975</v>
      </c>
      <c r="M37" s="3">
        <v>0</v>
      </c>
      <c r="N37" s="3">
        <f t="shared" ca="1" si="0"/>
        <v>91.417345706561946</v>
      </c>
      <c r="O37" s="3">
        <f t="shared" ca="1" si="3"/>
        <v>-91.417345706561946</v>
      </c>
      <c r="P37" s="8">
        <f t="shared" ca="1" si="4"/>
        <v>0.31636603281274139</v>
      </c>
      <c r="Q37" s="8">
        <f t="shared" ca="1" si="1"/>
        <v>31.964452157733962</v>
      </c>
      <c r="R37" s="14">
        <f t="shared" ca="1" si="5"/>
        <v>2553.5627553407571</v>
      </c>
      <c r="S37" s="11"/>
      <c r="X37" s="9">
        <v>277.20667830691065</v>
      </c>
      <c r="Y37" s="9">
        <v>982.44963278153023</v>
      </c>
      <c r="Z37" s="9">
        <v>1719.4199075934789</v>
      </c>
      <c r="AA37" s="9">
        <v>2486.3132469331867</v>
      </c>
      <c r="AB37" s="9">
        <v>3491.3130072669128</v>
      </c>
      <c r="AC37" s="9">
        <v>5056.4578075740092</v>
      </c>
      <c r="AD37" s="9">
        <v>4712.9990891630987</v>
      </c>
      <c r="AE37" s="9">
        <v>4348.6105954910017</v>
      </c>
      <c r="AF37" s="9">
        <v>3922.4097958157622</v>
      </c>
      <c r="AG37" s="9">
        <v>3356.4565124690212</v>
      </c>
      <c r="AH37" s="9">
        <v>2553.562754009175</v>
      </c>
    </row>
    <row r="38" spans="1:47" x14ac:dyDescent="0.35">
      <c r="A38" s="25"/>
      <c r="B38" s="25"/>
      <c r="C38" s="37"/>
      <c r="D38" s="6">
        <v>0.9</v>
      </c>
      <c r="E38" s="6">
        <f t="shared" si="2"/>
        <v>103.92304738620277</v>
      </c>
      <c r="F38" s="15">
        <v>0.2</v>
      </c>
      <c r="G38" s="16">
        <v>0.5</v>
      </c>
      <c r="H38" s="15">
        <v>0.05</v>
      </c>
      <c r="I38" s="15">
        <v>0.4</v>
      </c>
      <c r="J38" s="15">
        <v>-1</v>
      </c>
      <c r="K38" s="17">
        <v>-91.287923451948359</v>
      </c>
      <c r="L38" s="17">
        <v>0.26702767962494328</v>
      </c>
      <c r="M38" s="3">
        <v>0</v>
      </c>
      <c r="N38" s="3">
        <f t="shared" ca="1" si="0"/>
        <v>91.287862135516832</v>
      </c>
      <c r="O38" s="3">
        <f t="shared" ca="1" si="3"/>
        <v>-91.287862135516832</v>
      </c>
      <c r="P38" s="8">
        <f t="shared" ca="1" si="4"/>
        <v>0.26705220619755404</v>
      </c>
      <c r="Q38" s="8">
        <f t="shared" ca="1" si="1"/>
        <v>27.752879079258403</v>
      </c>
      <c r="R38" s="14">
        <f t="shared" ca="1" si="5"/>
        <v>2625.7800865777494</v>
      </c>
      <c r="S38" s="11"/>
      <c r="X38" s="9">
        <v>285.9669427761898</v>
      </c>
      <c r="Y38" s="9">
        <v>960.66512202086699</v>
      </c>
      <c r="Z38" s="9">
        <v>1631.4173543124766</v>
      </c>
      <c r="AA38" s="9">
        <v>2352.4037904120169</v>
      </c>
      <c r="AB38" s="9">
        <v>3298.8536638107907</v>
      </c>
      <c r="AC38" s="9">
        <v>4863.9984641178871</v>
      </c>
      <c r="AD38" s="9">
        <v>4557.0230611704073</v>
      </c>
      <c r="AE38" s="9">
        <v>4231.2744359246744</v>
      </c>
      <c r="AF38" s="9">
        <v>3850.1594368802107</v>
      </c>
      <c r="AG38" s="9">
        <v>3344.0967266475936</v>
      </c>
      <c r="AH38" s="9">
        <v>2625.7800855629166</v>
      </c>
    </row>
    <row r="39" spans="1:47" x14ac:dyDescent="0.35">
      <c r="A39" s="25"/>
      <c r="B39" s="25"/>
      <c r="C39" s="37"/>
      <c r="D39" s="6">
        <v>0.92500000000000004</v>
      </c>
      <c r="E39" s="6">
        <f t="shared" si="2"/>
        <v>106.80979870248618</v>
      </c>
      <c r="F39" s="15">
        <v>0.2</v>
      </c>
      <c r="G39" s="16">
        <v>0.5</v>
      </c>
      <c r="H39" s="15">
        <v>0.05</v>
      </c>
      <c r="I39" s="15">
        <v>0.4</v>
      </c>
      <c r="J39" s="15">
        <v>-1</v>
      </c>
      <c r="K39" s="17">
        <v>-91.155007102390869</v>
      </c>
      <c r="L39" s="17">
        <v>0.2225525757082033</v>
      </c>
      <c r="M39" s="3">
        <v>0</v>
      </c>
      <c r="N39" s="3">
        <f t="shared" ca="1" si="0"/>
        <v>91.154972502361034</v>
      </c>
      <c r="O39" s="3">
        <f t="shared" ca="1" si="3"/>
        <v>-91.154972502361034</v>
      </c>
      <c r="P39" s="8">
        <f t="shared" ca="1" si="4"/>
        <v>0.2225664157201373</v>
      </c>
      <c r="Q39" s="8">
        <f ca="1">P39*E39</f>
        <v>23.77227406100172</v>
      </c>
      <c r="R39" s="14">
        <f t="shared" ca="1" si="5"/>
        <v>2689.8052397180095</v>
      </c>
      <c r="S39" s="11"/>
      <c r="X39" s="9">
        <v>295.23398375976222</v>
      </c>
      <c r="Y39" s="9">
        <v>940.00318958084767</v>
      </c>
      <c r="Z39" s="9">
        <v>1544.1010899168143</v>
      </c>
      <c r="AA39" s="9">
        <v>2215.6489293133191</v>
      </c>
      <c r="AB39" s="9">
        <v>3100.6208177221019</v>
      </c>
      <c r="AC39" s="9">
        <v>4665.7656180291979</v>
      </c>
      <c r="AD39" s="9">
        <v>4394.978870814014</v>
      </c>
      <c r="AE39" s="9">
        <v>4107.5578005741927</v>
      </c>
      <c r="AF39" s="9">
        <v>3771.0562547920244</v>
      </c>
      <c r="AG39" s="9">
        <v>3324.2447648532625</v>
      </c>
      <c r="AH39" s="9">
        <v>2689.8052389476261</v>
      </c>
    </row>
    <row r="40" spans="1:47" s="2" customFormat="1" x14ac:dyDescent="0.35">
      <c r="A40" s="25"/>
      <c r="B40" s="25"/>
      <c r="C40" s="37"/>
      <c r="D40" s="6">
        <v>0.95000000000000007</v>
      </c>
      <c r="E40" s="6">
        <f t="shared" si="2"/>
        <v>109.69655001876959</v>
      </c>
      <c r="F40" s="15">
        <v>0.2</v>
      </c>
      <c r="G40" s="16">
        <v>0.5</v>
      </c>
      <c r="H40" s="15">
        <v>0.05</v>
      </c>
      <c r="I40" s="15">
        <v>0.4</v>
      </c>
      <c r="J40" s="15">
        <v>-1</v>
      </c>
      <c r="K40" s="17">
        <v>-91.019082726897267</v>
      </c>
      <c r="L40" s="17">
        <v>0.18283172827100189</v>
      </c>
      <c r="M40" s="3">
        <v>0</v>
      </c>
      <c r="N40" s="3">
        <f t="shared" ca="1" si="0"/>
        <v>91.019074023731676</v>
      </c>
      <c r="O40" s="3">
        <f t="shared" ca="1" si="3"/>
        <v>-91.019074023731676</v>
      </c>
      <c r="P40" s="8">
        <f t="shared" ca="1" si="4"/>
        <v>0.18283520953723822</v>
      </c>
      <c r="Q40" s="8">
        <f ca="1">P40*E40</f>
        <v>20.056391708193871</v>
      </c>
      <c r="R40" s="14">
        <f t="shared" ca="1" si="5"/>
        <v>2746.1339054872051</v>
      </c>
      <c r="S40" s="11"/>
      <c r="T40" s="10"/>
      <c r="U40" s="9"/>
      <c r="V40" s="3"/>
      <c r="W40" s="9"/>
      <c r="X40" s="9">
        <v>305.06020786004024</v>
      </c>
      <c r="Y40" s="9">
        <v>920.53302524431365</v>
      </c>
      <c r="Z40" s="9">
        <v>1457.4859364701979</v>
      </c>
      <c r="AA40" s="9">
        <v>2076.0487226038063</v>
      </c>
      <c r="AB40" s="9">
        <v>2896.6144690008464</v>
      </c>
      <c r="AC40" s="9">
        <v>4461.7592693079423</v>
      </c>
      <c r="AD40" s="9">
        <v>4226.9483342983294</v>
      </c>
      <c r="AE40" s="9">
        <v>3977.6291077624974</v>
      </c>
      <c r="AF40" s="9">
        <v>3685.3590242247847</v>
      </c>
      <c r="AG40" s="9">
        <v>3297.2822991442677</v>
      </c>
      <c r="AH40" s="9">
        <v>2746.1339049032395</v>
      </c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</row>
    <row r="41" spans="1:47" s="2" customFormat="1" x14ac:dyDescent="0.35">
      <c r="A41" s="26"/>
      <c r="B41" s="26"/>
      <c r="C41" s="37"/>
      <c r="D41" s="6">
        <v>0.97500000000000009</v>
      </c>
      <c r="E41" s="6">
        <f t="shared" si="2"/>
        <v>112.58330133505299</v>
      </c>
      <c r="F41" s="15">
        <v>0.2</v>
      </c>
      <c r="G41" s="16">
        <v>0.5</v>
      </c>
      <c r="H41" s="15">
        <v>0.05</v>
      </c>
      <c r="I41" s="15">
        <v>0.4</v>
      </c>
      <c r="J41" s="15">
        <v>-1</v>
      </c>
      <c r="K41" s="17">
        <v>-90.880531776479131</v>
      </c>
      <c r="L41" s="17">
        <v>0.14779960450238364</v>
      </c>
      <c r="M41" s="3">
        <v>0</v>
      </c>
      <c r="N41" s="3">
        <f ca="1">IF($B$9=0,N42,N42+(1000*((R41+R42)*$D$3*$B$5/(2*$B$9))))</f>
        <v>90.880537430845479</v>
      </c>
      <c r="O41" s="3">
        <f t="shared" ca="1" si="3"/>
        <v>-90.880537430845479</v>
      </c>
      <c r="P41" s="8">
        <f t="shared" ca="1" si="4"/>
        <v>0.14779734275584461</v>
      </c>
      <c r="Q41" s="8">
        <f ca="1">P41*E41</f>
        <v>16.639512776001364</v>
      </c>
      <c r="R41" s="14">
        <f ca="1">R40+($B$8*$D$3*$B$5)+($B$7*$D$3*$B$5*(Q40+Q41)/(2*$B$6))</f>
        <v>2795.3298099714002</v>
      </c>
      <c r="S41" s="11"/>
      <c r="T41" s="10"/>
      <c r="U41" s="9"/>
      <c r="V41" s="3"/>
      <c r="W41" s="9"/>
      <c r="X41" s="9">
        <v>315.50033455863002</v>
      </c>
      <c r="Y41" s="9">
        <v>902.32248585461605</v>
      </c>
      <c r="Z41" s="9">
        <v>1371.5744574011881</v>
      </c>
      <c r="AA41" s="9">
        <v>1933.596241971376</v>
      </c>
      <c r="AB41" s="9">
        <v>2686.8346176470236</v>
      </c>
      <c r="AC41" s="9">
        <v>4251.9794179541195</v>
      </c>
      <c r="AD41" s="9">
        <v>4053.0249388179122</v>
      </c>
      <c r="AE41" s="9">
        <v>3841.6810442442084</v>
      </c>
      <c r="AF41" s="9">
        <v>3593.3612649664387</v>
      </c>
      <c r="AG41" s="9">
        <v>3263.6392054246398</v>
      </c>
      <c r="AH41" s="9">
        <v>2795.329809530424</v>
      </c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</row>
    <row r="42" spans="1:47" x14ac:dyDescent="0.35">
      <c r="A42" s="26"/>
      <c r="B42" s="26"/>
      <c r="C42" s="37"/>
      <c r="D42" s="6">
        <v>1</v>
      </c>
      <c r="E42" s="6">
        <f t="shared" si="2"/>
        <v>115.4700526513364</v>
      </c>
      <c r="F42" s="15">
        <v>0.2</v>
      </c>
      <c r="G42" s="16">
        <v>0.5</v>
      </c>
      <c r="H42" s="15">
        <v>0.05</v>
      </c>
      <c r="I42" s="15">
        <v>0.4</v>
      </c>
      <c r="J42" s="15">
        <v>-1</v>
      </c>
      <c r="K42" s="17">
        <v>-90.73970074250137</v>
      </c>
      <c r="L42" s="17">
        <v>0.11837182657845209</v>
      </c>
      <c r="M42" s="3">
        <v>0</v>
      </c>
      <c r="N42" s="3">
        <f>M42-O42</f>
        <v>90.73970074250137</v>
      </c>
      <c r="O42" s="18">
        <v>-90.73970074250137</v>
      </c>
      <c r="P42" s="8">
        <f t="shared" si="4"/>
        <v>0.11837182657845209</v>
      </c>
      <c r="Q42" s="8">
        <f t="shared" si="1"/>
        <v>13.668401047448725</v>
      </c>
      <c r="R42" s="14">
        <f ca="1">R41+($B$8*$D$3*$B$5)+($B$7*$D$3*$B$5*(Q41+Q42)/(2*$B$6))</f>
        <v>2838.1377237948504</v>
      </c>
      <c r="S42" s="11"/>
      <c r="X42" s="9">
        <v>326.61126152683914</v>
      </c>
      <c r="Y42" s="9">
        <v>885.43031283782909</v>
      </c>
      <c r="Z42" s="9">
        <v>1286.3399889740922</v>
      </c>
      <c r="AA42" s="9">
        <v>1788.3022810951568</v>
      </c>
      <c r="AB42" s="9">
        <v>2471.2812636606341</v>
      </c>
      <c r="AC42" s="9">
        <v>4036.42606396773</v>
      </c>
      <c r="AD42" s="9">
        <v>3873.3168333356552</v>
      </c>
      <c r="AE42" s="9">
        <v>3699.9364716697432</v>
      </c>
      <c r="AF42" s="9">
        <v>3495.4215567897127</v>
      </c>
      <c r="AG42" s="9">
        <v>3223.8568318356151</v>
      </c>
      <c r="AH42" s="9">
        <v>2838.1377234641977</v>
      </c>
    </row>
    <row r="43" spans="1:47" x14ac:dyDescent="0.35">
      <c r="A43" s="27"/>
      <c r="B43" s="27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3"/>
      <c r="S43" s="11"/>
    </row>
    <row r="44" spans="1:47" x14ac:dyDescent="0.35"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3"/>
      <c r="S44" s="11"/>
    </row>
  </sheetData>
  <dataConsolidate/>
  <mergeCells count="1">
    <mergeCell ref="A26:B26"/>
  </mergeCells>
  <dataValidations disablePrompts="1" count="1">
    <dataValidation type="whole" allowBlank="1" showInputMessage="1" showErrorMessage="1" sqref="B1" xr:uid="{00000000-0002-0000-0000-000000000000}">
      <formula1>-99</formula1>
      <formula2>99</formula2>
    </dataValidation>
  </dataValidations>
  <printOptions horizontalCentered="1" verticalCentered="1" headings="1" gridLines="1"/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LOADSETL">
                <anchor moveWithCells="1" sizeWithCells="1">
                  <from>
                    <xdr:col>0</xdr:col>
                    <xdr:colOff>0</xdr:colOff>
                    <xdr:row>24</xdr:row>
                    <xdr:rowOff>107950</xdr:rowOff>
                  </from>
                  <to>
                    <xdr:col>2</xdr:col>
                    <xdr:colOff>31750</xdr:colOff>
                    <xdr:row>27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SET">
                <anchor moveWithCells="1" sizeWithCells="1">
                  <from>
                    <xdr:col>0</xdr:col>
                    <xdr:colOff>0</xdr:colOff>
                    <xdr:row>28</xdr:row>
                    <xdr:rowOff>171450</xdr:rowOff>
                  </from>
                  <to>
                    <xdr:col>2</xdr:col>
                    <xdr:colOff>31750</xdr:colOff>
                    <xdr:row>31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P25</vt:lpstr>
      <vt:lpstr>P25!Print_Area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Tiago Dias</cp:lastModifiedBy>
  <cp:lastPrinted>2016-09-16T11:35:57Z</cp:lastPrinted>
  <dcterms:created xsi:type="dcterms:W3CDTF">2006-09-16T00:00:00Z</dcterms:created>
  <dcterms:modified xsi:type="dcterms:W3CDTF">2017-10-22T15:48:44Z</dcterms:modified>
</cp:coreProperties>
</file>